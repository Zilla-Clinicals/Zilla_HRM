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zillahrm\"/>
    </mc:Choice>
  </mc:AlternateContent>
  <xr:revisionPtr revIDLastSave="0" documentId="13_ncr:1_{B4DBF0B2-62EE-4001-B750-7494865432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sight2_AF_07 14 26" sheetId="4" r:id="rId1"/>
    <sheet name="KPI Scoring" sheetId="1" r:id="rId2"/>
    <sheet name="How Scoring Works" sheetId="2" r:id="rId3"/>
    <sheet name="Summary" sheetId="3" r:id="rId4"/>
  </sheets>
  <definedNames>
    <definedName name="ExternalData_1" localSheetId="0" hidden="1">'isight2_AF_07 14 26'!$A$1:$AP$31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B5" i="3" s="1"/>
  <c r="D5" i="3" s="1"/>
  <c r="J13" i="1"/>
  <c r="J12" i="1"/>
  <c r="J11" i="1"/>
  <c r="J10" i="1"/>
  <c r="B4" i="3" s="1"/>
  <c r="D4" i="3" s="1"/>
  <c r="J9" i="1"/>
  <c r="J8" i="1"/>
  <c r="J7" i="1"/>
  <c r="J6" i="1"/>
  <c r="B3" i="3" s="1"/>
  <c r="D3" i="3" s="1"/>
  <c r="J5" i="1"/>
  <c r="J4" i="1"/>
  <c r="J3" i="1"/>
  <c r="J2" i="1"/>
  <c r="B2" i="3" s="1"/>
  <c r="D2" i="3" s="1"/>
  <c r="B6" i="3" l="1"/>
  <c r="D6" i="3" s="1"/>
  <c r="B7" i="3" l="1"/>
  <c r="D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F95CE7-1868-4A13-9FFF-FE383B1E913E}" keepAlive="1" name="Query - isight2_AF_07 14 26" description="Connection to the 'isight2_AF_07 14 26' query in the workbook." type="5" refreshedVersion="8" background="1" saveData="1">
    <dbPr connection="Provider=Microsoft.Mashup.OleDb.1;Data Source=$Workbook$;Location=&quot;isight2_AF_07 14 26&quot;;Extended Properties=&quot;&quot;" command="SELECT * FROM [isight2_AF_07 14 26]"/>
  </connection>
</connections>
</file>

<file path=xl/sharedStrings.xml><?xml version="1.0" encoding="utf-8"?>
<sst xmlns="http://schemas.openxmlformats.org/spreadsheetml/2006/main" count="1181" uniqueCount="271">
  <si>
    <t>Category</t>
  </si>
  <si>
    <t>KPI</t>
  </si>
  <si>
    <t>Description</t>
  </si>
  <si>
    <t>Measurement</t>
  </si>
  <si>
    <t>Target</t>
  </si>
  <si>
    <t>Category Weight (%)</t>
  </si>
  <si>
    <t>KPIs in Category</t>
  </si>
  <si>
    <t>KPI Weight (points)</t>
  </si>
  <si>
    <t>Status</t>
  </si>
  <si>
    <t>Points Earned</t>
  </si>
  <si>
    <t>Notes</t>
  </si>
  <si>
    <t>Performance &amp; Delivery</t>
  </si>
  <si>
    <t>Task Completion Rate</t>
  </si>
  <si>
    <t>Percentage of assigned tasks completed within agreed timelines</t>
  </si>
  <si>
    <t>(# completed on time ÷ total assigned) × 100</t>
  </si>
  <si>
    <t>≥ 90%</t>
  </si>
  <si>
    <t>Partial</t>
  </si>
  <si>
    <t>Quality of Output</t>
  </si>
  <si>
    <t>Accuracy, attention to detail, and adherence to standards</t>
  </si>
  <si>
    <t>% of work approved without revisions</t>
  </si>
  <si>
    <t>≥ 95%</t>
  </si>
  <si>
    <t>Process Efficiency</t>
  </si>
  <si>
    <t>Ability to complete tasks with minimal rework</t>
  </si>
  <si>
    <t># of reworks per project or task</t>
  </si>
  <si>
    <t>≤ 10%</t>
  </si>
  <si>
    <t>Met</t>
  </si>
  <si>
    <t>Documentation &amp; Compliance</t>
  </si>
  <si>
    <t>Following team processes, SOPs, and file protocols</t>
  </si>
  <si>
    <t>Audit or lead review</t>
  </si>
  <si>
    <t>Full compliance</t>
  </si>
  <si>
    <t>Collaboration &amp; Team Engagement</t>
  </si>
  <si>
    <t>Cross-Team Communication</t>
  </si>
  <si>
    <t>Timely, professional interaction with colleagues and other teams</t>
  </si>
  <si>
    <t>Peer feedback survey</t>
  </si>
  <si>
    <t>≥ 4/5</t>
  </si>
  <si>
    <t>Meeting Participation</t>
  </si>
  <si>
    <t>Attendance and constructive contribution in meetings</t>
  </si>
  <si>
    <t>Attendance record + feedback</t>
  </si>
  <si>
    <t>≥ 90% participation</t>
  </si>
  <si>
    <t>Collaboration Quality</t>
  </si>
  <si>
    <t>How effectively the member works with others to achieve shared goals</t>
  </si>
  <si>
    <t>360° feedback</t>
  </si>
  <si>
    <t>Positive trend</t>
  </si>
  <si>
    <t>Team Morale Contribution</t>
  </si>
  <si>
    <t>Proactive positivity, mentorship, or support of peers</t>
  </si>
  <si>
    <t>Peer/lead feedback</t>
  </si>
  <si>
    <t>Demonstrated contribution</t>
  </si>
  <si>
    <t>Ownership &amp; Initiative</t>
  </si>
  <si>
    <t>Accountability</t>
  </si>
  <si>
    <t>Consistency in following through on commitments</t>
  </si>
  <si>
    <t>Manager review + peer inputs</t>
  </si>
  <si>
    <t>Consistent accountability</t>
  </si>
  <si>
    <t>Problem Solving</t>
  </si>
  <si>
    <t>Identifies and resolves issues proactively</t>
  </si>
  <si>
    <t># of issues resolved without escalation</t>
  </si>
  <si>
    <t>≥ 80%</t>
  </si>
  <si>
    <t>Innovation &amp; Continuous Improvement</t>
  </si>
  <si>
    <t>Suggestions, ideas, or efficiencies introduced</t>
  </si>
  <si>
    <t># of improvements suggested or implemented</t>
  </si>
  <si>
    <t>≥ 1 per quarter</t>
  </si>
  <si>
    <t>Dependability Index</t>
  </si>
  <si>
    <t>Reliability under deadlines or pressure</t>
  </si>
  <si>
    <t>Lead assessment</t>
  </si>
  <si>
    <t>Above Average</t>
  </si>
  <si>
    <t>Learning &amp; Growth</t>
  </si>
  <si>
    <t>Skill Advancement</t>
  </si>
  <si>
    <t>Participation in internal/external learning activities</t>
  </si>
  <si>
    <t># of trainings, courses, or certifications completed</t>
  </si>
  <si>
    <t>Application of Learning</t>
  </si>
  <si>
    <t>Using new skills in actual work scenarios</t>
  </si>
  <si>
    <t>Evidence of application in deliverables</t>
  </si>
  <si>
    <t>Demonstrated improvement</t>
  </si>
  <si>
    <t>Growth Goal Achievement</t>
  </si>
  <si>
    <t>Progress toward individual development plans</t>
  </si>
  <si>
    <t>% of personal goals met</t>
  </si>
  <si>
    <t>Knowledge Sharing</t>
  </si>
  <si>
    <t>Teaching or mentoring others on new skills</t>
  </si>
  <si>
    <t># of sessions, guides, or shared learnings</t>
  </si>
  <si>
    <t>Business &amp; Impact Alignment</t>
  </si>
  <si>
    <t>Impact on KPIs</t>
  </si>
  <si>
    <t>Contribution to key company/team metrics</t>
  </si>
  <si>
    <t>Direct link to department KPIs</t>
  </si>
  <si>
    <t>Documented alignment</t>
  </si>
  <si>
    <t>Customer or Stakeholder Feedback</t>
  </si>
  <si>
    <t>External feedback on professionalism, quality, or communication</t>
  </si>
  <si>
    <t>Client or stakeholder rating</t>
  </si>
  <si>
    <t>Efficiency Contribution</t>
  </si>
  <si>
    <t>Ideas or efforts that saved time, cost, or resources</t>
  </si>
  <si>
    <t>Quantified impact or manager validation</t>
  </si>
  <si>
    <t>≥ 1 measurable improvement/quarter</t>
  </si>
  <si>
    <t>Strategic Alignment</t>
  </si>
  <si>
    <t>Understanding and acting in line with company goals</t>
  </si>
  <si>
    <t>Leadership evaluation</t>
  </si>
  <si>
    <t>Strong alignment</t>
  </si>
  <si>
    <t>Simple Scoring (total = 100 points)</t>
  </si>
  <si>
    <t>1) Each category has a weight. All categories together add up to 100.</t>
  </si>
  <si>
    <t>2) Inside a category, each KPI shares that category's points equally.</t>
  </si>
  <si>
    <t>3) For each KPI, pick a Status:</t>
  </si>
  <si>
    <t xml:space="preserve">   - Met        → 100% of KPI Weight</t>
  </si>
  <si>
    <t xml:space="preserve">   - Partial    → 50% of KPI Weight</t>
  </si>
  <si>
    <t xml:space="preserve">   - Not Met    → 0% of KPI Weight</t>
  </si>
  <si>
    <t>Your total score is the sum of 'Points Earned' across all KPIs (out of 100).</t>
  </si>
  <si>
    <t>Total Points (earned)</t>
  </si>
  <si>
    <t>Max Points (category weight)</t>
  </si>
  <si>
    <t>OVERALL TOTAL</t>
  </si>
  <si>
    <t>screeningId</t>
  </si>
  <si>
    <t>randomId</t>
  </si>
  <si>
    <t>studyEye</t>
  </si>
  <si>
    <t>thisFormsEye</t>
  </si>
  <si>
    <t>visitNum</t>
  </si>
  <si>
    <t>visitSub</t>
  </si>
  <si>
    <t>visitDesc</t>
  </si>
  <si>
    <t>centerId</t>
  </si>
  <si>
    <t>dateOfVisit</t>
  </si>
  <si>
    <t>performedDate</t>
  </si>
  <si>
    <t>imageNotAvailable</t>
  </si>
  <si>
    <t>imageNotAvailableComment</t>
  </si>
  <si>
    <t>quality</t>
  </si>
  <si>
    <t>generalComment</t>
  </si>
  <si>
    <t>reticularPseudodrusen</t>
  </si>
  <si>
    <t>overallAFPattern</t>
  </si>
  <si>
    <t>totalChangeInAFPatternFU</t>
  </si>
  <si>
    <t>peripapillaryAtrophyTemporal</t>
  </si>
  <si>
    <t>peripapillaryAtrophySuperior</t>
  </si>
  <si>
    <t>peripapillaryAtrophyNasal</t>
  </si>
  <si>
    <t>peripapillaryAtrophyInferior</t>
  </si>
  <si>
    <t>gaPresent</t>
  </si>
  <si>
    <t>gaAreaR1</t>
  </si>
  <si>
    <t>gaAreaR2</t>
  </si>
  <si>
    <t>gaAreaR3</t>
  </si>
  <si>
    <t>gaAreaCD</t>
  </si>
  <si>
    <t>gaAreaIBR1</t>
  </si>
  <si>
    <t>gaAreaIBR2</t>
  </si>
  <si>
    <t>gaAreaIBR3</t>
  </si>
  <si>
    <t>gaAreaIBCD</t>
  </si>
  <si>
    <t>gaAreaDAR1</t>
  </si>
  <si>
    <t>gaAreaDAR2</t>
  </si>
  <si>
    <t>gaAreaDAR3</t>
  </si>
  <si>
    <t>gaDistanceFoveaR1</t>
  </si>
  <si>
    <t>gaDistanceFoveaR2</t>
  </si>
  <si>
    <t>gaDistanceFoveaR3</t>
  </si>
  <si>
    <t>gaDistanceFoveaCD</t>
  </si>
  <si>
    <t>confluentPeripapillaryAtrophy</t>
  </si>
  <si>
    <t>increasedConfluenceOfGA</t>
  </si>
  <si>
    <t>junctionalZoneOfAFPattern</t>
  </si>
  <si>
    <t>junctionalZoneAdjacentSubPattern</t>
  </si>
  <si>
    <t>junctionalZoneDiffuseSubPattern</t>
  </si>
  <si>
    <t>ILS201001D</t>
  </si>
  <si>
    <t>Right</t>
  </si>
  <si>
    <t>Screening</t>
  </si>
  <si>
    <t>NULL</t>
  </si>
  <si>
    <t>Fair</t>
  </si>
  <si>
    <t>Yes</t>
  </si>
  <si>
    <t>Patchy</t>
  </si>
  <si>
    <t>Beta</t>
  </si>
  <si>
    <t>0</t>
  </si>
  <si>
    <t>ILS201001S</t>
  </si>
  <si>
    <t>Left</t>
  </si>
  <si>
    <t>ILS201003D</t>
  </si>
  <si>
    <t>well defined area of central hypo AF that correlates to iRORA not cRORA by OCT</t>
  </si>
  <si>
    <t>Focal Plaque-like</t>
  </si>
  <si>
    <t>CD</t>
  </si>
  <si>
    <t>Month 6 - Day 187 (+/-14 days)</t>
  </si>
  <si>
    <t>Minimal Change</t>
  </si>
  <si>
    <t>Stable</t>
  </si>
  <si>
    <t>Alpha</t>
  </si>
  <si>
    <t>Unscheduled Visit</t>
  </si>
  <si>
    <t>Focal Increase</t>
  </si>
  <si>
    <t>ILS201003S</t>
  </si>
  <si>
    <t>Reticular</t>
  </si>
  <si>
    <t>Poor</t>
  </si>
  <si>
    <t>Image out of focus and grainy.Reticular Pseudodrusen and Overall Pattern of Autofluorescence because of poor quality.</t>
  </si>
  <si>
    <t>ILS201004D</t>
  </si>
  <si>
    <t>2-5</t>
  </si>
  <si>
    <t>0.156</t>
  </si>
  <si>
    <t>0.155</t>
  </si>
  <si>
    <t>0.061</t>
  </si>
  <si>
    <t>0.750</t>
  </si>
  <si>
    <t>0.804</t>
  </si>
  <si>
    <t>No</t>
  </si>
  <si>
    <t>Focal</t>
  </si>
  <si>
    <t>Fine Granular Plus</t>
  </si>
  <si>
    <t>ILS201004S</t>
  </si>
  <si>
    <t>1</t>
  </si>
  <si>
    <t>4.490</t>
  </si>
  <si>
    <t>4.518</t>
  </si>
  <si>
    <t>1.768</t>
  </si>
  <si>
    <t>1.779</t>
  </si>
  <si>
    <t>0.000</t>
  </si>
  <si>
    <t>ILS201005D</t>
  </si>
  <si>
    <t>stellate pattern of central hyperfluorescence</t>
  </si>
  <si>
    <t>Linear</t>
  </si>
  <si>
    <t>ILS201005S</t>
  </si>
  <si>
    <t>stellate hyperfluorescence consistent with pattern dystrophy</t>
  </si>
  <si>
    <t>ILS201009D</t>
  </si>
  <si>
    <t>0.145</t>
  </si>
  <si>
    <t>0.132</t>
  </si>
  <si>
    <t>0.057</t>
  </si>
  <si>
    <t>0.052</t>
  </si>
  <si>
    <t>Fine Granular</t>
  </si>
  <si>
    <t>ILS201009S</t>
  </si>
  <si>
    <t>ILS202001D</t>
  </si>
  <si>
    <t>ILS202001S</t>
  </si>
  <si>
    <t>ILS221001D</t>
  </si>
  <si>
    <t>3.943</t>
  </si>
  <si>
    <t>4.244</t>
  </si>
  <si>
    <t>1.552</t>
  </si>
  <si>
    <t>1.671</t>
  </si>
  <si>
    <t>0.143</t>
  </si>
  <si>
    <t>Branching</t>
  </si>
  <si>
    <t>5.263</t>
  </si>
  <si>
    <t>5.143</t>
  </si>
  <si>
    <t>2.072</t>
  </si>
  <si>
    <t>2.025</t>
  </si>
  <si>
    <t>0.099</t>
  </si>
  <si>
    <t>0.102</t>
  </si>
  <si>
    <t>ILS221001S</t>
  </si>
  <si>
    <t>3.244</t>
  </si>
  <si>
    <t>3.164</t>
  </si>
  <si>
    <t>1.277</t>
  </si>
  <si>
    <t>1.246</t>
  </si>
  <si>
    <t>0.686</t>
  </si>
  <si>
    <t>0.647</t>
  </si>
  <si>
    <t>ILS221005D</t>
  </si>
  <si>
    <t>Speckled</t>
  </si>
  <si>
    <t>0.771</t>
  </si>
  <si>
    <t>0.744</t>
  </si>
  <si>
    <t>0.304</t>
  </si>
  <si>
    <t>0.293</t>
  </si>
  <si>
    <t>ILS221005S</t>
  </si>
  <si>
    <t>0.389</t>
  </si>
  <si>
    <t>0.380</t>
  </si>
  <si>
    <t>0.153</t>
  </si>
  <si>
    <t>0.150</t>
  </si>
  <si>
    <t>ILS221006D</t>
  </si>
  <si>
    <t>GA area is IB due to PPA confluency</t>
  </si>
  <si>
    <t>18.237</t>
  </si>
  <si>
    <t>18.113</t>
  </si>
  <si>
    <t>7.180</t>
  </si>
  <si>
    <t>7.131</t>
  </si>
  <si>
    <t>0.142</t>
  </si>
  <si>
    <t>0.151</t>
  </si>
  <si>
    <t>ILS221006S</t>
  </si>
  <si>
    <t>Ga area as IB due to PPA confluence</t>
  </si>
  <si>
    <t>14.451</t>
  </si>
  <si>
    <t>14.487</t>
  </si>
  <si>
    <t>5.689</t>
  </si>
  <si>
    <t>5.704</t>
  </si>
  <si>
    <t>0.212</t>
  </si>
  <si>
    <t>0.201</t>
  </si>
  <si>
    <t>Banded</t>
  </si>
  <si>
    <t>ILS221007S</t>
  </si>
  <si>
    <t>0.260</t>
  </si>
  <si>
    <t>0.268</t>
  </si>
  <si>
    <t>0.106</t>
  </si>
  <si>
    <t>ILS222001D</t>
  </si>
  <si>
    <t>8.004</t>
  </si>
  <si>
    <t>7.850</t>
  </si>
  <si>
    <t>3.151</t>
  </si>
  <si>
    <t>3.091</t>
  </si>
  <si>
    <t>ILS222001S</t>
  </si>
  <si>
    <t>11-20</t>
  </si>
  <si>
    <t>8.186</t>
  </si>
  <si>
    <t>8.333</t>
  </si>
  <si>
    <t>3.223</t>
  </si>
  <si>
    <t>3.281</t>
  </si>
  <si>
    <t>ILS231004D</t>
  </si>
  <si>
    <t>ILS231004S</t>
  </si>
  <si>
    <t>None</t>
  </si>
  <si>
    <t>ILS233001D</t>
  </si>
  <si>
    <t>ILS233001S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</si>
</sst>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92A3F1-0113-4360-A2E3-9F6BE7081DC9}" autoFormatId="16" applyNumberFormats="0" applyBorderFormats="0" applyFontFormats="0" applyPatternFormats="0" applyAlignmentFormats="0" applyWidthHeightFormats="0">
  <queryTableRefresh nextId="43">
    <queryTableFields count="42">
      <queryTableField id="1" name="screeningId" tableColumnId="1"/>
      <queryTableField id="2" name="randomId" tableColumnId="2"/>
      <queryTableField id="3" name="studyEye" tableColumnId="3"/>
      <queryTableField id="4" name="thisFormsEye" tableColumnId="4"/>
      <queryTableField id="5" name="visitNum" tableColumnId="5"/>
      <queryTableField id="6" name="visitSub" tableColumnId="6"/>
      <queryTableField id="7" name="visitDesc" tableColumnId="7"/>
      <queryTableField id="8" name="centerId" tableColumnId="8"/>
      <queryTableField id="9" name="dateOfVisit" tableColumnId="9"/>
      <queryTableField id="10" name="performedDate" tableColumnId="10"/>
      <queryTableField id="11" name="imageNotAvailable" tableColumnId="11"/>
      <queryTableField id="12" name="imageNotAvailableComment" tableColumnId="12"/>
      <queryTableField id="13" name="quality" tableColumnId="13"/>
      <queryTableField id="14" name="generalComment" tableColumnId="14"/>
      <queryTableField id="15" name="reticularPseudodrusen" tableColumnId="15"/>
      <queryTableField id="16" name="overallAFPattern" tableColumnId="16"/>
      <queryTableField id="17" name="totalChangeInAFPatternFU" tableColumnId="17"/>
      <queryTableField id="18" name="peripapillaryAtrophyTemporal" tableColumnId="18"/>
      <queryTableField id="19" name="peripapillaryAtrophySuperior" tableColumnId="19"/>
      <queryTableField id="20" name="peripapillaryAtrophyNasal" tableColumnId="20"/>
      <queryTableField id="21" name="peripapillaryAtrophyInferior" tableColumnId="21"/>
      <queryTableField id="22" name="gaPresent" tableColumnId="22"/>
      <queryTableField id="23" name="gaAreaR1" tableColumnId="23"/>
      <queryTableField id="24" name="gaAreaR2" tableColumnId="24"/>
      <queryTableField id="25" name="gaAreaR3" tableColumnId="25"/>
      <queryTableField id="26" name="gaAreaCD" tableColumnId="26"/>
      <queryTableField id="27" name="gaAreaIBR1" tableColumnId="27"/>
      <queryTableField id="28" name="gaAreaIBR2" tableColumnId="28"/>
      <queryTableField id="29" name="gaAreaIBR3" tableColumnId="29"/>
      <queryTableField id="30" name="gaAreaIBCD" tableColumnId="30"/>
      <queryTableField id="31" name="gaAreaDAR1" tableColumnId="31"/>
      <queryTableField id="32" name="gaAreaDAR2" tableColumnId="32"/>
      <queryTableField id="33" name="gaAreaDAR3" tableColumnId="33"/>
      <queryTableField id="34" name="gaDistanceFoveaR1" tableColumnId="34"/>
      <queryTableField id="35" name="gaDistanceFoveaR2" tableColumnId="35"/>
      <queryTableField id="36" name="gaDistanceFoveaR3" tableColumnId="36"/>
      <queryTableField id="37" name="gaDistanceFoveaCD" tableColumnId="37"/>
      <queryTableField id="38" name="confluentPeripapillaryAtrophy" tableColumnId="38"/>
      <queryTableField id="39" name="increasedConfluenceOfGA" tableColumnId="39"/>
      <queryTableField id="40" name="junctionalZoneOfAFPattern" tableColumnId="40"/>
      <queryTableField id="41" name="junctionalZoneAdjacentSubPattern" tableColumnId="41"/>
      <queryTableField id="42" name="junctionalZoneDiffuseSubPattern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491C1-CCE5-4240-B2B0-E40D1CB454CA}" name="isight2_AF_07_14_26" displayName="isight2_AF_07_14_26" ref="A1:AP31" tableType="queryTable" totalsRowShown="0">
  <autoFilter ref="A1:AP31" xr:uid="{211491C1-CCE5-4240-B2B0-E40D1CB454CA}"/>
  <tableColumns count="42">
    <tableColumn id="1" xr3:uid="{366A6F63-D054-428A-B9C2-DD88142AA4AF}" uniqueName="1" name="screeningId" queryTableFieldId="1" dataDxfId="34"/>
    <tableColumn id="2" xr3:uid="{CB5537DF-E80F-42D3-9538-7EF53B46968D}" uniqueName="2" name="randomId" queryTableFieldId="2" dataDxfId="33"/>
    <tableColumn id="3" xr3:uid="{0B906E9F-6365-433F-A4D6-12E2915E9498}" uniqueName="3" name="studyEye" queryTableFieldId="3" dataDxfId="32"/>
    <tableColumn id="4" xr3:uid="{5B79774E-64DA-48E7-8B50-DA66BFA36FDE}" uniqueName="4" name="thisFormsEye" queryTableFieldId="4" dataDxfId="31"/>
    <tableColumn id="5" xr3:uid="{DFB61164-5AD9-4FEC-A3ED-278BA7151A99}" uniqueName="5" name="visitNum" queryTableFieldId="5"/>
    <tableColumn id="6" xr3:uid="{7C578590-7E91-4144-9BE7-8D1C846DB41B}" uniqueName="6" name="visitSub" queryTableFieldId="6"/>
    <tableColumn id="7" xr3:uid="{6ABED4D3-BB58-4AA7-A9CF-CDC110C3C259}" uniqueName="7" name="visitDesc" queryTableFieldId="7" dataDxfId="30"/>
    <tableColumn id="8" xr3:uid="{8C3F9E6D-E38E-42AF-9679-DD438F968444}" uniqueName="8" name="centerId" queryTableFieldId="8"/>
    <tableColumn id="9" xr3:uid="{ACFB9E9C-A724-40DF-876D-858A45DDABE0}" uniqueName="9" name="dateOfVisit" queryTableFieldId="9" dataDxfId="29"/>
    <tableColumn id="10" xr3:uid="{2DDA823E-01B6-496C-933C-68A7A275CE4A}" uniqueName="10" name="performedDate" queryTableFieldId="10" dataDxfId="28"/>
    <tableColumn id="11" xr3:uid="{C6E263FB-8043-420C-A0FA-75742F67086B}" uniqueName="11" name="imageNotAvailable" queryTableFieldId="11"/>
    <tableColumn id="12" xr3:uid="{BC05F1E4-A779-4422-874F-9EBE1E9EE903}" uniqueName="12" name="imageNotAvailableComment" queryTableFieldId="12" dataDxfId="27"/>
    <tableColumn id="13" xr3:uid="{F357078F-D85A-4B76-B28B-207117EA2C6C}" uniqueName="13" name="quality" queryTableFieldId="13" dataDxfId="26"/>
    <tableColumn id="14" xr3:uid="{04A645FF-1663-4E77-9F4C-3BE42D481E57}" uniqueName="14" name="generalComment" queryTableFieldId="14" dataDxfId="25"/>
    <tableColumn id="15" xr3:uid="{4848DB6D-8E92-42FA-9FD3-903425120A62}" uniqueName="15" name="reticularPseudodrusen" queryTableFieldId="15" dataDxfId="24"/>
    <tableColumn id="16" xr3:uid="{4A055F07-73BC-4C71-8C19-AA78B22FCA84}" uniqueName="16" name="overallAFPattern" queryTableFieldId="16" dataDxfId="23"/>
    <tableColumn id="17" xr3:uid="{D9C6489E-607C-4738-9336-58F0428A8D19}" uniqueName="17" name="totalChangeInAFPatternFU" queryTableFieldId="17" dataDxfId="22"/>
    <tableColumn id="18" xr3:uid="{5BD7D930-B94D-4822-95CE-C94B34B7CA94}" uniqueName="18" name="peripapillaryAtrophyTemporal" queryTableFieldId="18" dataDxfId="21"/>
    <tableColumn id="19" xr3:uid="{64EDE67F-C029-4DF1-AD42-AAEDD94D2C8F}" uniqueName="19" name="peripapillaryAtrophySuperior" queryTableFieldId="19" dataDxfId="20"/>
    <tableColumn id="20" xr3:uid="{0637FD0F-E954-43F6-B4A0-687471799A03}" uniqueName="20" name="peripapillaryAtrophyNasal" queryTableFieldId="20" dataDxfId="19"/>
    <tableColumn id="21" xr3:uid="{3833AB72-0E9E-466E-A8A1-BBF8995D8DA1}" uniqueName="21" name="peripapillaryAtrophyInferior" queryTableFieldId="21" dataDxfId="18"/>
    <tableColumn id="22" xr3:uid="{4BC5347B-4810-45FB-9733-FD6E92E302B9}" uniqueName="22" name="gaPresent" queryTableFieldId="22" dataDxfId="17"/>
    <tableColumn id="23" xr3:uid="{AA086BD7-1348-40AC-9AA4-7346DD7D33B4}" uniqueName="23" name="gaAreaR1" queryTableFieldId="23" dataDxfId="16"/>
    <tableColumn id="24" xr3:uid="{ED0AF03F-218C-443B-9236-1EEC5CA70996}" uniqueName="24" name="gaAreaR2" queryTableFieldId="24" dataDxfId="15"/>
    <tableColumn id="25" xr3:uid="{C893ED29-4A74-4C73-B3F1-B4C1F50BE70A}" uniqueName="25" name="gaAreaR3" queryTableFieldId="25" dataDxfId="14"/>
    <tableColumn id="26" xr3:uid="{019E3DE3-C490-4701-9530-818AC5B15F53}" uniqueName="26" name="gaAreaCD" queryTableFieldId="26"/>
    <tableColumn id="27" xr3:uid="{5766FF3C-EE9E-404F-89EA-5602FD033FF8}" uniqueName="27" name="gaAreaIBR1" queryTableFieldId="27" dataDxfId="13"/>
    <tableColumn id="28" xr3:uid="{621DC76B-5546-45E4-9265-D08E9BFF1EE9}" uniqueName="28" name="gaAreaIBR2" queryTableFieldId="28" dataDxfId="12"/>
    <tableColumn id="29" xr3:uid="{E0220ECF-F2AF-428E-ACF2-1B165C0D9337}" uniqueName="29" name="gaAreaIBR3" queryTableFieldId="29" dataDxfId="11"/>
    <tableColumn id="30" xr3:uid="{257BA2E8-FB43-4370-B44D-56D929347CD4}" uniqueName="30" name="gaAreaIBCD" queryTableFieldId="30"/>
    <tableColumn id="31" xr3:uid="{CE4FC69D-99CA-4C3D-B4DF-8B54BDA74B9F}" uniqueName="31" name="gaAreaDAR1" queryTableFieldId="31" dataDxfId="10"/>
    <tableColumn id="32" xr3:uid="{8F017057-3135-469D-BCF6-F55CECF0109B}" uniqueName="32" name="gaAreaDAR2" queryTableFieldId="32" dataDxfId="9"/>
    <tableColumn id="33" xr3:uid="{E9D488B0-5FEA-4A2E-98F2-F4216E96882B}" uniqueName="33" name="gaAreaDAR3" queryTableFieldId="33" dataDxfId="8"/>
    <tableColumn id="34" xr3:uid="{601FF568-37E9-4E36-8906-7CCC2E98F879}" uniqueName="34" name="gaDistanceFoveaR1" queryTableFieldId="34" dataDxfId="7"/>
    <tableColumn id="35" xr3:uid="{7681A552-A2C4-4B52-97E5-4D843FC99BE1}" uniqueName="35" name="gaDistanceFoveaR2" queryTableFieldId="35" dataDxfId="6"/>
    <tableColumn id="36" xr3:uid="{902A7AF7-CFB2-4C31-B129-F016FE1B607B}" uniqueName="36" name="gaDistanceFoveaR3" queryTableFieldId="36" dataDxfId="5"/>
    <tableColumn id="37" xr3:uid="{87DBF7CA-9BA8-4633-9701-9748E7E18802}" uniqueName="37" name="gaDistanceFoveaCD" queryTableFieldId="37"/>
    <tableColumn id="38" xr3:uid="{F0B91F58-116D-41F4-B055-EFAB5DE728DD}" uniqueName="38" name="confluentPeripapillaryAtrophy" queryTableFieldId="38" dataDxfId="4"/>
    <tableColumn id="39" xr3:uid="{C72258B9-4812-46FF-BD51-36C1E69AAECD}" uniqueName="39" name="increasedConfluenceOfGA" queryTableFieldId="39" dataDxfId="3"/>
    <tableColumn id="40" xr3:uid="{43D2C649-0F91-44E2-A2D3-5E8C24624AF5}" uniqueName="40" name="junctionalZoneOfAFPattern" queryTableFieldId="40" dataDxfId="2"/>
    <tableColumn id="41" xr3:uid="{55A5EFB6-D308-4355-94F9-C66EE56473FB}" uniqueName="41" name="junctionalZoneAdjacentSubPattern" queryTableFieldId="41" dataDxfId="1"/>
    <tableColumn id="42" xr3:uid="{A8F67F7B-BB91-479E-9980-7EF1CF419929}" uniqueName="42" name="junctionalZoneDiffuseSubPattern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C249-4C4A-4F57-B3C9-413053B8E79E}">
  <dimension ref="A1:AP31"/>
  <sheetViews>
    <sheetView tabSelected="1" topLeftCell="Q1" workbookViewId="0">
      <selection activeCell="R7" sqref="R7"/>
    </sheetView>
  </sheetViews>
  <sheetFormatPr defaultRowHeight="14.5" x14ac:dyDescent="0.35"/>
  <cols>
    <col min="1" max="1" width="12.6328125" bestFit="1" customWidth="1"/>
    <col min="2" max="2" width="11.36328125" bestFit="1" customWidth="1"/>
    <col min="3" max="3" width="10.6328125" bestFit="1" customWidth="1"/>
    <col min="4" max="4" width="14.26953125" bestFit="1" customWidth="1"/>
    <col min="5" max="5" width="10.453125" bestFit="1" customWidth="1"/>
    <col min="6" max="6" width="9.54296875" bestFit="1" customWidth="1"/>
    <col min="7" max="7" width="26.90625" bestFit="1" customWidth="1"/>
    <col min="8" max="8" width="10.08984375" bestFit="1" customWidth="1"/>
    <col min="9" max="9" width="12.54296875" bestFit="1" customWidth="1"/>
    <col min="10" max="10" width="16.1796875" bestFit="1" customWidth="1"/>
    <col min="11" max="11" width="18.81640625" bestFit="1" customWidth="1"/>
    <col min="12" max="12" width="27.26953125" bestFit="1" customWidth="1"/>
    <col min="13" max="13" width="8.81640625" bestFit="1" customWidth="1"/>
    <col min="14" max="14" width="80.7265625" bestFit="1" customWidth="1"/>
    <col min="15" max="15" width="22.26953125" bestFit="1" customWidth="1"/>
    <col min="16" max="16" width="17.26953125" bestFit="1" customWidth="1"/>
    <col min="17" max="17" width="25.81640625" bestFit="1" customWidth="1"/>
    <col min="18" max="18" width="28.7265625" bestFit="1" customWidth="1"/>
    <col min="19" max="19" width="27.81640625" bestFit="1" customWidth="1"/>
    <col min="20" max="20" width="25.1796875" bestFit="1" customWidth="1"/>
    <col min="21" max="21" width="26.90625" bestFit="1" customWidth="1"/>
    <col min="22" max="22" width="11.453125" bestFit="1" customWidth="1"/>
    <col min="23" max="25" width="11" bestFit="1" customWidth="1"/>
    <col min="26" max="26" width="11.26953125" bestFit="1" customWidth="1"/>
    <col min="27" max="29" width="12.6328125" bestFit="1" customWidth="1"/>
    <col min="30" max="30" width="12.90625" bestFit="1" customWidth="1"/>
    <col min="31" max="33" width="13.453125" bestFit="1" customWidth="1"/>
    <col min="34" max="36" width="19.36328125" bestFit="1" customWidth="1"/>
    <col min="37" max="37" width="19.6328125" bestFit="1" customWidth="1"/>
    <col min="38" max="38" width="28.7265625" bestFit="1" customWidth="1"/>
    <col min="39" max="39" width="25.1796875" bestFit="1" customWidth="1"/>
    <col min="40" max="40" width="26.36328125" bestFit="1" customWidth="1"/>
    <col min="41" max="41" width="33" bestFit="1" customWidth="1"/>
    <col min="42" max="42" width="31.36328125" bestFit="1" customWidth="1"/>
  </cols>
  <sheetData>
    <row r="1" spans="1:42" x14ac:dyDescent="0.3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</row>
    <row r="2" spans="1:42" x14ac:dyDescent="0.35">
      <c r="A2" s="12" t="s">
        <v>147</v>
      </c>
      <c r="B2" s="12" t="s">
        <v>147</v>
      </c>
      <c r="C2" s="12" t="s">
        <v>148</v>
      </c>
      <c r="D2" s="12" t="s">
        <v>148</v>
      </c>
      <c r="E2">
        <v>1</v>
      </c>
      <c r="F2">
        <v>1</v>
      </c>
      <c r="G2" s="12" t="s">
        <v>149</v>
      </c>
      <c r="H2">
        <v>1</v>
      </c>
      <c r="I2" s="13">
        <v>45867</v>
      </c>
      <c r="J2" s="13">
        <v>45867</v>
      </c>
      <c r="K2" t="b">
        <v>0</v>
      </c>
      <c r="L2" s="12" t="s">
        <v>150</v>
      </c>
      <c r="M2" s="12" t="s">
        <v>151</v>
      </c>
      <c r="N2" s="12" t="s">
        <v>150</v>
      </c>
      <c r="O2" s="12" t="s">
        <v>152</v>
      </c>
      <c r="P2" s="12" t="s">
        <v>153</v>
      </c>
      <c r="Q2" s="12" t="s">
        <v>150</v>
      </c>
      <c r="R2" s="12" t="s">
        <v>154</v>
      </c>
      <c r="S2" s="12" t="s">
        <v>154</v>
      </c>
      <c r="T2" s="12" t="s">
        <v>154</v>
      </c>
      <c r="U2" s="12" t="s">
        <v>154</v>
      </c>
      <c r="V2" s="12" t="s">
        <v>155</v>
      </c>
      <c r="W2" s="12" t="s">
        <v>150</v>
      </c>
      <c r="X2" s="12" t="s">
        <v>150</v>
      </c>
      <c r="Y2" s="12" t="s">
        <v>150</v>
      </c>
      <c r="Z2" t="b">
        <v>0</v>
      </c>
      <c r="AA2" s="12" t="s">
        <v>150</v>
      </c>
      <c r="AB2" s="12" t="s">
        <v>150</v>
      </c>
      <c r="AC2" s="12" t="s">
        <v>150</v>
      </c>
      <c r="AD2" t="b">
        <v>0</v>
      </c>
      <c r="AE2" s="12" t="s">
        <v>150</v>
      </c>
      <c r="AF2" s="12" t="s">
        <v>150</v>
      </c>
      <c r="AG2" s="12" t="s">
        <v>150</v>
      </c>
      <c r="AH2" s="12" t="s">
        <v>150</v>
      </c>
      <c r="AI2" s="12" t="s">
        <v>150</v>
      </c>
      <c r="AJ2" s="12" t="s">
        <v>150</v>
      </c>
      <c r="AK2" t="b">
        <v>0</v>
      </c>
      <c r="AL2" s="12" t="s">
        <v>150</v>
      </c>
      <c r="AM2" s="12" t="s">
        <v>150</v>
      </c>
      <c r="AN2" s="12" t="s">
        <v>150</v>
      </c>
      <c r="AO2" s="12" t="s">
        <v>150</v>
      </c>
      <c r="AP2" s="12" t="s">
        <v>150</v>
      </c>
    </row>
    <row r="3" spans="1:42" x14ac:dyDescent="0.35">
      <c r="A3" s="12" t="s">
        <v>156</v>
      </c>
      <c r="B3" s="12" t="s">
        <v>156</v>
      </c>
      <c r="C3" s="12" t="s">
        <v>157</v>
      </c>
      <c r="D3" s="12" t="s">
        <v>157</v>
      </c>
      <c r="E3">
        <v>1</v>
      </c>
      <c r="F3">
        <v>1</v>
      </c>
      <c r="G3" s="12" t="s">
        <v>149</v>
      </c>
      <c r="H3">
        <v>1</v>
      </c>
      <c r="I3" s="13">
        <v>45867</v>
      </c>
      <c r="J3" s="13">
        <v>45867</v>
      </c>
      <c r="K3" t="b">
        <v>0</v>
      </c>
      <c r="L3" s="12" t="s">
        <v>150</v>
      </c>
      <c r="M3" s="12" t="s">
        <v>151</v>
      </c>
      <c r="N3" s="12" t="s">
        <v>150</v>
      </c>
      <c r="O3" s="12" t="s">
        <v>152</v>
      </c>
      <c r="P3" s="12" t="s">
        <v>153</v>
      </c>
      <c r="Q3" s="12" t="s">
        <v>150</v>
      </c>
      <c r="R3" s="12" t="s">
        <v>154</v>
      </c>
      <c r="S3" s="12" t="s">
        <v>154</v>
      </c>
      <c r="T3" s="12" t="s">
        <v>154</v>
      </c>
      <c r="U3" s="12" t="s">
        <v>154</v>
      </c>
      <c r="V3" s="12" t="s">
        <v>155</v>
      </c>
      <c r="W3" s="12" t="s">
        <v>150</v>
      </c>
      <c r="X3" s="12" t="s">
        <v>150</v>
      </c>
      <c r="Y3" s="12" t="s">
        <v>150</v>
      </c>
      <c r="Z3" t="b">
        <v>0</v>
      </c>
      <c r="AA3" s="12" t="s">
        <v>150</v>
      </c>
      <c r="AB3" s="12" t="s">
        <v>150</v>
      </c>
      <c r="AC3" s="12" t="s">
        <v>150</v>
      </c>
      <c r="AD3" t="b">
        <v>0</v>
      </c>
      <c r="AE3" s="12" t="s">
        <v>150</v>
      </c>
      <c r="AF3" s="12" t="s">
        <v>150</v>
      </c>
      <c r="AG3" s="12" t="s">
        <v>150</v>
      </c>
      <c r="AH3" s="12" t="s">
        <v>150</v>
      </c>
      <c r="AI3" s="12" t="s">
        <v>150</v>
      </c>
      <c r="AJ3" s="12" t="s">
        <v>150</v>
      </c>
      <c r="AK3" t="b">
        <v>0</v>
      </c>
      <c r="AL3" s="12" t="s">
        <v>150</v>
      </c>
      <c r="AM3" s="12" t="s">
        <v>150</v>
      </c>
      <c r="AN3" s="12" t="s">
        <v>150</v>
      </c>
      <c r="AO3" s="12" t="s">
        <v>150</v>
      </c>
      <c r="AP3" s="12" t="s">
        <v>150</v>
      </c>
    </row>
    <row r="4" spans="1:42" x14ac:dyDescent="0.35">
      <c r="A4" s="12" t="s">
        <v>158</v>
      </c>
      <c r="B4" s="12" t="s">
        <v>158</v>
      </c>
      <c r="C4" s="12" t="s">
        <v>148</v>
      </c>
      <c r="D4" s="12" t="s">
        <v>148</v>
      </c>
      <c r="E4">
        <v>1</v>
      </c>
      <c r="F4">
        <v>1</v>
      </c>
      <c r="G4" s="12" t="s">
        <v>149</v>
      </c>
      <c r="H4">
        <v>1</v>
      </c>
      <c r="I4" s="13">
        <v>45897</v>
      </c>
      <c r="J4" s="13">
        <v>45897</v>
      </c>
      <c r="K4" t="b">
        <v>0</v>
      </c>
      <c r="L4" s="12" t="s">
        <v>150</v>
      </c>
      <c r="M4" s="12" t="s">
        <v>151</v>
      </c>
      <c r="N4" s="12" t="s">
        <v>159</v>
      </c>
      <c r="O4" s="12" t="s">
        <v>152</v>
      </c>
      <c r="P4" s="12" t="s">
        <v>160</v>
      </c>
      <c r="Q4" s="12" t="s">
        <v>150</v>
      </c>
      <c r="R4" s="12" t="s">
        <v>154</v>
      </c>
      <c r="S4" s="12" t="s">
        <v>154</v>
      </c>
      <c r="T4" s="12" t="s">
        <v>161</v>
      </c>
      <c r="U4" s="12" t="s">
        <v>154</v>
      </c>
      <c r="V4" s="12" t="s">
        <v>155</v>
      </c>
      <c r="W4" s="12" t="s">
        <v>150</v>
      </c>
      <c r="X4" s="12" t="s">
        <v>150</v>
      </c>
      <c r="Y4" s="12" t="s">
        <v>150</v>
      </c>
      <c r="Z4" t="b">
        <v>0</v>
      </c>
      <c r="AA4" s="12" t="s">
        <v>150</v>
      </c>
      <c r="AB4" s="12" t="s">
        <v>150</v>
      </c>
      <c r="AC4" s="12" t="s">
        <v>150</v>
      </c>
      <c r="AD4" t="b">
        <v>0</v>
      </c>
      <c r="AE4" s="12" t="s">
        <v>150</v>
      </c>
      <c r="AF4" s="12" t="s">
        <v>150</v>
      </c>
      <c r="AG4" s="12" t="s">
        <v>150</v>
      </c>
      <c r="AH4" s="12" t="s">
        <v>150</v>
      </c>
      <c r="AI4" s="12" t="s">
        <v>150</v>
      </c>
      <c r="AJ4" s="12" t="s">
        <v>150</v>
      </c>
      <c r="AK4" t="b">
        <v>0</v>
      </c>
      <c r="AL4" s="12" t="s">
        <v>150</v>
      </c>
      <c r="AM4" s="12" t="s">
        <v>150</v>
      </c>
      <c r="AN4" s="12" t="s">
        <v>150</v>
      </c>
      <c r="AO4" s="12" t="s">
        <v>150</v>
      </c>
      <c r="AP4" s="12" t="s">
        <v>150</v>
      </c>
    </row>
    <row r="5" spans="1:42" x14ac:dyDescent="0.35">
      <c r="A5" s="12" t="s">
        <v>158</v>
      </c>
      <c r="B5" s="12" t="s">
        <v>158</v>
      </c>
      <c r="C5" s="12" t="s">
        <v>148</v>
      </c>
      <c r="D5" s="12" t="s">
        <v>148</v>
      </c>
      <c r="E5">
        <v>8</v>
      </c>
      <c r="F5">
        <v>1</v>
      </c>
      <c r="G5" s="12" t="s">
        <v>162</v>
      </c>
      <c r="H5">
        <v>1</v>
      </c>
      <c r="I5" s="13">
        <v>46113</v>
      </c>
      <c r="J5" s="13">
        <v>46113</v>
      </c>
      <c r="K5" t="b">
        <v>0</v>
      </c>
      <c r="L5" s="12" t="s">
        <v>150</v>
      </c>
      <c r="M5" s="12" t="s">
        <v>151</v>
      </c>
      <c r="N5" s="12" t="s">
        <v>150</v>
      </c>
      <c r="O5" s="12" t="s">
        <v>152</v>
      </c>
      <c r="P5" s="12" t="s">
        <v>163</v>
      </c>
      <c r="Q5" s="12" t="s">
        <v>164</v>
      </c>
      <c r="R5" s="12" t="s">
        <v>154</v>
      </c>
      <c r="S5" s="12" t="s">
        <v>165</v>
      </c>
      <c r="T5" s="12" t="s">
        <v>165</v>
      </c>
      <c r="U5" s="12" t="s">
        <v>154</v>
      </c>
      <c r="V5" s="12" t="s">
        <v>155</v>
      </c>
      <c r="W5" s="12" t="s">
        <v>150</v>
      </c>
      <c r="X5" s="12" t="s">
        <v>150</v>
      </c>
      <c r="Y5" s="12" t="s">
        <v>150</v>
      </c>
      <c r="Z5" t="b">
        <v>0</v>
      </c>
      <c r="AA5" s="12" t="s">
        <v>150</v>
      </c>
      <c r="AB5" s="12" t="s">
        <v>150</v>
      </c>
      <c r="AC5" s="12" t="s">
        <v>150</v>
      </c>
      <c r="AD5" t="b">
        <v>0</v>
      </c>
      <c r="AE5" s="12" t="s">
        <v>150</v>
      </c>
      <c r="AF5" s="12" t="s">
        <v>150</v>
      </c>
      <c r="AG5" s="12" t="s">
        <v>150</v>
      </c>
      <c r="AH5" s="12" t="s">
        <v>150</v>
      </c>
      <c r="AI5" s="12" t="s">
        <v>150</v>
      </c>
      <c r="AJ5" s="12" t="s">
        <v>150</v>
      </c>
      <c r="AK5" t="b">
        <v>0</v>
      </c>
      <c r="AL5" s="12" t="s">
        <v>150</v>
      </c>
      <c r="AM5" s="12" t="s">
        <v>150</v>
      </c>
      <c r="AN5" s="12" t="s">
        <v>150</v>
      </c>
      <c r="AO5" s="12" t="s">
        <v>150</v>
      </c>
      <c r="AP5" s="12" t="s">
        <v>150</v>
      </c>
    </row>
    <row r="6" spans="1:42" x14ac:dyDescent="0.35">
      <c r="A6" s="12" t="s">
        <v>158</v>
      </c>
      <c r="B6" s="12" t="s">
        <v>158</v>
      </c>
      <c r="C6" s="12" t="s">
        <v>148</v>
      </c>
      <c r="D6" s="12" t="s">
        <v>148</v>
      </c>
      <c r="E6">
        <v>9</v>
      </c>
      <c r="F6">
        <v>2</v>
      </c>
      <c r="G6" s="12" t="s">
        <v>166</v>
      </c>
      <c r="H6">
        <v>1</v>
      </c>
      <c r="I6" s="13">
        <v>46140</v>
      </c>
      <c r="J6" s="13">
        <v>46140</v>
      </c>
      <c r="K6" t="b">
        <v>0</v>
      </c>
      <c r="L6" s="12" t="s">
        <v>150</v>
      </c>
      <c r="M6" s="12" t="s">
        <v>151</v>
      </c>
      <c r="N6" s="12" t="s">
        <v>150</v>
      </c>
      <c r="O6" s="12" t="s">
        <v>152</v>
      </c>
      <c r="P6" s="12" t="s">
        <v>167</v>
      </c>
      <c r="Q6" s="12" t="s">
        <v>164</v>
      </c>
      <c r="R6" s="12" t="s">
        <v>154</v>
      </c>
      <c r="S6" s="12" t="s">
        <v>154</v>
      </c>
      <c r="T6" s="12" t="s">
        <v>165</v>
      </c>
      <c r="U6" s="12" t="s">
        <v>154</v>
      </c>
      <c r="V6" s="12" t="s">
        <v>155</v>
      </c>
      <c r="W6" s="12" t="s">
        <v>150</v>
      </c>
      <c r="X6" s="12" t="s">
        <v>150</v>
      </c>
      <c r="Y6" s="12" t="s">
        <v>150</v>
      </c>
      <c r="Z6" t="b">
        <v>0</v>
      </c>
      <c r="AA6" s="12" t="s">
        <v>150</v>
      </c>
      <c r="AB6" s="12" t="s">
        <v>150</v>
      </c>
      <c r="AC6" s="12" t="s">
        <v>150</v>
      </c>
      <c r="AD6" t="b">
        <v>0</v>
      </c>
      <c r="AE6" s="12" t="s">
        <v>150</v>
      </c>
      <c r="AF6" s="12" t="s">
        <v>150</v>
      </c>
      <c r="AG6" s="12" t="s">
        <v>150</v>
      </c>
      <c r="AH6" s="12" t="s">
        <v>150</v>
      </c>
      <c r="AI6" s="12" t="s">
        <v>150</v>
      </c>
      <c r="AJ6" s="12" t="s">
        <v>150</v>
      </c>
      <c r="AK6" t="b">
        <v>0</v>
      </c>
      <c r="AL6" s="12" t="s">
        <v>150</v>
      </c>
      <c r="AM6" s="12" t="s">
        <v>150</v>
      </c>
      <c r="AN6" s="12" t="s">
        <v>150</v>
      </c>
      <c r="AO6" s="12" t="s">
        <v>150</v>
      </c>
      <c r="AP6" s="12" t="s">
        <v>150</v>
      </c>
    </row>
    <row r="7" spans="1:42" x14ac:dyDescent="0.35">
      <c r="A7" s="12" t="s">
        <v>168</v>
      </c>
      <c r="B7" s="12" t="s">
        <v>168</v>
      </c>
      <c r="C7" s="12" t="s">
        <v>157</v>
      </c>
      <c r="D7" s="12" t="s">
        <v>157</v>
      </c>
      <c r="E7">
        <v>1</v>
      </c>
      <c r="F7">
        <v>1</v>
      </c>
      <c r="G7" s="12" t="s">
        <v>149</v>
      </c>
      <c r="H7">
        <v>1</v>
      </c>
      <c r="I7" s="13">
        <v>45897</v>
      </c>
      <c r="J7" s="13">
        <v>45897</v>
      </c>
      <c r="K7" t="b">
        <v>0</v>
      </c>
      <c r="L7" s="12" t="s">
        <v>150</v>
      </c>
      <c r="M7" s="12" t="s">
        <v>151</v>
      </c>
      <c r="N7" s="12" t="s">
        <v>159</v>
      </c>
      <c r="O7" s="12" t="s">
        <v>152</v>
      </c>
      <c r="P7" s="12" t="s">
        <v>169</v>
      </c>
      <c r="Q7" s="12" t="s">
        <v>150</v>
      </c>
      <c r="R7" s="12" t="s">
        <v>154</v>
      </c>
      <c r="S7" s="12" t="s">
        <v>154</v>
      </c>
      <c r="T7" s="12" t="s">
        <v>161</v>
      </c>
      <c r="U7" s="12" t="s">
        <v>154</v>
      </c>
      <c r="V7" s="12" t="s">
        <v>155</v>
      </c>
      <c r="W7" s="12" t="s">
        <v>150</v>
      </c>
      <c r="X7" s="12" t="s">
        <v>150</v>
      </c>
      <c r="Y7" s="12" t="s">
        <v>150</v>
      </c>
      <c r="Z7" t="b">
        <v>0</v>
      </c>
      <c r="AA7" s="12" t="s">
        <v>150</v>
      </c>
      <c r="AB7" s="12" t="s">
        <v>150</v>
      </c>
      <c r="AC7" s="12" t="s">
        <v>150</v>
      </c>
      <c r="AD7" t="b">
        <v>0</v>
      </c>
      <c r="AE7" s="12" t="s">
        <v>150</v>
      </c>
      <c r="AF7" s="12" t="s">
        <v>150</v>
      </c>
      <c r="AG7" s="12" t="s">
        <v>150</v>
      </c>
      <c r="AH7" s="12" t="s">
        <v>150</v>
      </c>
      <c r="AI7" s="12" t="s">
        <v>150</v>
      </c>
      <c r="AJ7" s="12" t="s">
        <v>150</v>
      </c>
      <c r="AK7" t="b">
        <v>0</v>
      </c>
      <c r="AL7" s="12" t="s">
        <v>150</v>
      </c>
      <c r="AM7" s="12" t="s">
        <v>150</v>
      </c>
      <c r="AN7" s="12" t="s">
        <v>150</v>
      </c>
      <c r="AO7" s="12" t="s">
        <v>150</v>
      </c>
      <c r="AP7" s="12" t="s">
        <v>150</v>
      </c>
    </row>
    <row r="8" spans="1:42" x14ac:dyDescent="0.35">
      <c r="A8" s="12" t="s">
        <v>168</v>
      </c>
      <c r="B8" s="12" t="s">
        <v>168</v>
      </c>
      <c r="C8" s="12" t="s">
        <v>157</v>
      </c>
      <c r="D8" s="12" t="s">
        <v>157</v>
      </c>
      <c r="E8">
        <v>8</v>
      </c>
      <c r="F8">
        <v>1</v>
      </c>
      <c r="G8" s="12" t="s">
        <v>162</v>
      </c>
      <c r="H8">
        <v>1</v>
      </c>
      <c r="I8" s="13">
        <v>46113</v>
      </c>
      <c r="J8" s="13">
        <v>46113</v>
      </c>
      <c r="K8" t="b">
        <v>0</v>
      </c>
      <c r="L8" s="12" t="s">
        <v>150</v>
      </c>
      <c r="M8" s="12" t="s">
        <v>151</v>
      </c>
      <c r="N8" s="12" t="s">
        <v>150</v>
      </c>
      <c r="O8" s="12" t="s">
        <v>152</v>
      </c>
      <c r="P8" s="12" t="s">
        <v>169</v>
      </c>
      <c r="Q8" s="12" t="s">
        <v>164</v>
      </c>
      <c r="R8" s="12" t="s">
        <v>154</v>
      </c>
      <c r="S8" s="12" t="s">
        <v>154</v>
      </c>
      <c r="T8" s="12" t="s">
        <v>165</v>
      </c>
      <c r="U8" s="12" t="s">
        <v>154</v>
      </c>
      <c r="V8" s="12" t="s">
        <v>155</v>
      </c>
      <c r="W8" s="12" t="s">
        <v>150</v>
      </c>
      <c r="X8" s="12" t="s">
        <v>150</v>
      </c>
      <c r="Y8" s="12" t="s">
        <v>150</v>
      </c>
      <c r="Z8" t="b">
        <v>0</v>
      </c>
      <c r="AA8" s="12" t="s">
        <v>150</v>
      </c>
      <c r="AB8" s="12" t="s">
        <v>150</v>
      </c>
      <c r="AC8" s="12" t="s">
        <v>150</v>
      </c>
      <c r="AD8" t="b">
        <v>0</v>
      </c>
      <c r="AE8" s="12" t="s">
        <v>150</v>
      </c>
      <c r="AF8" s="12" t="s">
        <v>150</v>
      </c>
      <c r="AG8" s="12" t="s">
        <v>150</v>
      </c>
      <c r="AH8" s="12" t="s">
        <v>150</v>
      </c>
      <c r="AI8" s="12" t="s">
        <v>150</v>
      </c>
      <c r="AJ8" s="12" t="s">
        <v>150</v>
      </c>
      <c r="AK8" t="b">
        <v>0</v>
      </c>
      <c r="AL8" s="12" t="s">
        <v>150</v>
      </c>
      <c r="AM8" s="12" t="s">
        <v>150</v>
      </c>
      <c r="AN8" s="12" t="s">
        <v>150</v>
      </c>
      <c r="AO8" s="12" t="s">
        <v>150</v>
      </c>
      <c r="AP8" s="12" t="s">
        <v>150</v>
      </c>
    </row>
    <row r="9" spans="1:42" x14ac:dyDescent="0.35">
      <c r="A9" s="12" t="s">
        <v>168</v>
      </c>
      <c r="B9" s="12" t="s">
        <v>168</v>
      </c>
      <c r="C9" s="12" t="s">
        <v>157</v>
      </c>
      <c r="D9" s="12" t="s">
        <v>157</v>
      </c>
      <c r="E9">
        <v>9</v>
      </c>
      <c r="F9">
        <v>2</v>
      </c>
      <c r="G9" s="12" t="s">
        <v>166</v>
      </c>
      <c r="H9">
        <v>1</v>
      </c>
      <c r="I9" s="13">
        <v>46140</v>
      </c>
      <c r="J9" s="13">
        <v>46140</v>
      </c>
      <c r="K9" t="b">
        <v>0</v>
      </c>
      <c r="L9" s="12" t="s">
        <v>150</v>
      </c>
      <c r="M9" s="12" t="s">
        <v>170</v>
      </c>
      <c r="N9" s="12" t="s">
        <v>171</v>
      </c>
      <c r="O9" s="12" t="s">
        <v>161</v>
      </c>
      <c r="P9" s="12" t="s">
        <v>161</v>
      </c>
      <c r="Q9" s="12" t="s">
        <v>150</v>
      </c>
      <c r="R9" s="12" t="s">
        <v>154</v>
      </c>
      <c r="S9" s="12" t="s">
        <v>154</v>
      </c>
      <c r="T9" s="12" t="s">
        <v>165</v>
      </c>
      <c r="U9" s="12" t="s">
        <v>154</v>
      </c>
      <c r="V9" s="12" t="s">
        <v>155</v>
      </c>
      <c r="W9" s="12" t="s">
        <v>150</v>
      </c>
      <c r="X9" s="12" t="s">
        <v>150</v>
      </c>
      <c r="Y9" s="12" t="s">
        <v>150</v>
      </c>
      <c r="Z9" t="b">
        <v>0</v>
      </c>
      <c r="AA9" s="12" t="s">
        <v>150</v>
      </c>
      <c r="AB9" s="12" t="s">
        <v>150</v>
      </c>
      <c r="AC9" s="12" t="s">
        <v>150</v>
      </c>
      <c r="AD9" t="b">
        <v>0</v>
      </c>
      <c r="AE9" s="12" t="s">
        <v>150</v>
      </c>
      <c r="AF9" s="12" t="s">
        <v>150</v>
      </c>
      <c r="AG9" s="12" t="s">
        <v>150</v>
      </c>
      <c r="AH9" s="12" t="s">
        <v>150</v>
      </c>
      <c r="AI9" s="12" t="s">
        <v>150</v>
      </c>
      <c r="AJ9" s="12" t="s">
        <v>150</v>
      </c>
      <c r="AK9" t="b">
        <v>0</v>
      </c>
      <c r="AL9" s="12" t="s">
        <v>150</v>
      </c>
      <c r="AM9" s="12" t="s">
        <v>150</v>
      </c>
      <c r="AN9" s="12" t="s">
        <v>150</v>
      </c>
      <c r="AO9" s="12" t="s">
        <v>150</v>
      </c>
      <c r="AP9" s="12" t="s">
        <v>150</v>
      </c>
    </row>
    <row r="10" spans="1:42" x14ac:dyDescent="0.35">
      <c r="A10" s="12" t="s">
        <v>172</v>
      </c>
      <c r="B10" s="12" t="s">
        <v>172</v>
      </c>
      <c r="C10" s="12" t="s">
        <v>148</v>
      </c>
      <c r="D10" s="12" t="s">
        <v>148</v>
      </c>
      <c r="E10">
        <v>1</v>
      </c>
      <c r="F10">
        <v>1</v>
      </c>
      <c r="G10" s="12" t="s">
        <v>149</v>
      </c>
      <c r="H10">
        <v>1</v>
      </c>
      <c r="I10" s="13">
        <v>45939</v>
      </c>
      <c r="J10" s="13">
        <v>45939</v>
      </c>
      <c r="K10" t="b">
        <v>0</v>
      </c>
      <c r="L10" s="12" t="s">
        <v>150</v>
      </c>
      <c r="M10" s="12" t="s">
        <v>151</v>
      </c>
      <c r="N10" s="12" t="s">
        <v>150</v>
      </c>
      <c r="O10" s="12" t="s">
        <v>152</v>
      </c>
      <c r="P10" s="12" t="s">
        <v>167</v>
      </c>
      <c r="Q10" s="12" t="s">
        <v>150</v>
      </c>
      <c r="R10" s="12" t="s">
        <v>154</v>
      </c>
      <c r="S10" s="12" t="s">
        <v>165</v>
      </c>
      <c r="T10" s="12" t="s">
        <v>165</v>
      </c>
      <c r="U10" s="12" t="s">
        <v>154</v>
      </c>
      <c r="V10" s="12" t="s">
        <v>173</v>
      </c>
      <c r="W10" s="12" t="s">
        <v>174</v>
      </c>
      <c r="X10" s="12" t="s">
        <v>175</v>
      </c>
      <c r="Y10" s="12" t="s">
        <v>150</v>
      </c>
      <c r="Z10" t="b">
        <v>0</v>
      </c>
      <c r="AA10" s="12" t="s">
        <v>150</v>
      </c>
      <c r="AB10" s="12" t="s">
        <v>150</v>
      </c>
      <c r="AC10" s="12" t="s">
        <v>150</v>
      </c>
      <c r="AD10" t="b">
        <v>0</v>
      </c>
      <c r="AE10" s="12" t="s">
        <v>176</v>
      </c>
      <c r="AF10" s="12" t="s">
        <v>176</v>
      </c>
      <c r="AG10" s="12" t="s">
        <v>150</v>
      </c>
      <c r="AH10" s="12" t="s">
        <v>177</v>
      </c>
      <c r="AI10" s="12" t="s">
        <v>178</v>
      </c>
      <c r="AJ10" s="12" t="s">
        <v>150</v>
      </c>
      <c r="AK10" t="b">
        <v>0</v>
      </c>
      <c r="AL10" s="12" t="s">
        <v>179</v>
      </c>
      <c r="AM10" s="12" t="s">
        <v>150</v>
      </c>
      <c r="AN10" s="12" t="s">
        <v>152</v>
      </c>
      <c r="AO10" s="12" t="s">
        <v>180</v>
      </c>
      <c r="AP10" s="12" t="s">
        <v>181</v>
      </c>
    </row>
    <row r="11" spans="1:42" x14ac:dyDescent="0.35">
      <c r="A11" s="12" t="s">
        <v>182</v>
      </c>
      <c r="B11" s="12" t="s">
        <v>182</v>
      </c>
      <c r="C11" s="12" t="s">
        <v>157</v>
      </c>
      <c r="D11" s="12" t="s">
        <v>157</v>
      </c>
      <c r="E11">
        <v>1</v>
      </c>
      <c r="F11">
        <v>1</v>
      </c>
      <c r="G11" s="12" t="s">
        <v>149</v>
      </c>
      <c r="H11">
        <v>1</v>
      </c>
      <c r="I11" s="13">
        <v>45939</v>
      </c>
      <c r="J11" s="13">
        <v>45939</v>
      </c>
      <c r="K11" t="b">
        <v>0</v>
      </c>
      <c r="L11" s="12" t="s">
        <v>150</v>
      </c>
      <c r="M11" s="12" t="s">
        <v>151</v>
      </c>
      <c r="N11" s="12" t="s">
        <v>150</v>
      </c>
      <c r="O11" s="12" t="s">
        <v>179</v>
      </c>
      <c r="P11" s="12" t="s">
        <v>167</v>
      </c>
      <c r="Q11" s="12" t="s">
        <v>150</v>
      </c>
      <c r="R11" s="12" t="s">
        <v>154</v>
      </c>
      <c r="S11" s="12" t="s">
        <v>165</v>
      </c>
      <c r="T11" s="12" t="s">
        <v>165</v>
      </c>
      <c r="U11" s="12" t="s">
        <v>165</v>
      </c>
      <c r="V11" s="12" t="s">
        <v>183</v>
      </c>
      <c r="W11" s="12" t="s">
        <v>184</v>
      </c>
      <c r="X11" s="12" t="s">
        <v>185</v>
      </c>
      <c r="Y11" s="12" t="s">
        <v>150</v>
      </c>
      <c r="Z11" t="b">
        <v>0</v>
      </c>
      <c r="AA11" s="12" t="s">
        <v>150</v>
      </c>
      <c r="AB11" s="12" t="s">
        <v>150</v>
      </c>
      <c r="AC11" s="12" t="s">
        <v>150</v>
      </c>
      <c r="AD11" t="b">
        <v>0</v>
      </c>
      <c r="AE11" s="12" t="s">
        <v>186</v>
      </c>
      <c r="AF11" s="12" t="s">
        <v>187</v>
      </c>
      <c r="AG11" s="12" t="s">
        <v>150</v>
      </c>
      <c r="AH11" s="12" t="s">
        <v>188</v>
      </c>
      <c r="AI11" s="12" t="s">
        <v>188</v>
      </c>
      <c r="AJ11" s="12" t="s">
        <v>150</v>
      </c>
      <c r="AK11" t="b">
        <v>0</v>
      </c>
      <c r="AL11" s="12" t="s">
        <v>179</v>
      </c>
      <c r="AM11" s="12" t="s">
        <v>150</v>
      </c>
      <c r="AN11" s="12" t="s">
        <v>152</v>
      </c>
      <c r="AO11" s="12" t="s">
        <v>180</v>
      </c>
      <c r="AP11" s="12" t="s">
        <v>181</v>
      </c>
    </row>
    <row r="12" spans="1:42" x14ac:dyDescent="0.35">
      <c r="A12" s="12" t="s">
        <v>189</v>
      </c>
      <c r="B12" s="12" t="s">
        <v>189</v>
      </c>
      <c r="C12" s="12" t="s">
        <v>148</v>
      </c>
      <c r="D12" s="12" t="s">
        <v>148</v>
      </c>
      <c r="E12">
        <v>1</v>
      </c>
      <c r="F12">
        <v>1</v>
      </c>
      <c r="G12" s="12" t="s">
        <v>149</v>
      </c>
      <c r="H12">
        <v>1</v>
      </c>
      <c r="I12" s="13">
        <v>45971</v>
      </c>
      <c r="J12" s="13">
        <v>45971</v>
      </c>
      <c r="K12" t="b">
        <v>0</v>
      </c>
      <c r="L12" s="12" t="s">
        <v>150</v>
      </c>
      <c r="M12" s="12" t="s">
        <v>151</v>
      </c>
      <c r="N12" s="12" t="s">
        <v>190</v>
      </c>
      <c r="O12" s="12" t="s">
        <v>152</v>
      </c>
      <c r="P12" s="12" t="s">
        <v>191</v>
      </c>
      <c r="Q12" s="12" t="s">
        <v>150</v>
      </c>
      <c r="R12" s="12" t="s">
        <v>154</v>
      </c>
      <c r="S12" s="12" t="s">
        <v>165</v>
      </c>
      <c r="T12" s="12" t="s">
        <v>165</v>
      </c>
      <c r="U12" s="12" t="s">
        <v>154</v>
      </c>
      <c r="V12" s="12" t="s">
        <v>155</v>
      </c>
      <c r="W12" s="12" t="s">
        <v>150</v>
      </c>
      <c r="X12" s="12" t="s">
        <v>150</v>
      </c>
      <c r="Y12" s="12" t="s">
        <v>150</v>
      </c>
      <c r="Z12" t="b">
        <v>0</v>
      </c>
      <c r="AA12" s="12" t="s">
        <v>150</v>
      </c>
      <c r="AB12" s="12" t="s">
        <v>150</v>
      </c>
      <c r="AC12" s="12" t="s">
        <v>150</v>
      </c>
      <c r="AD12" t="b">
        <v>0</v>
      </c>
      <c r="AE12" s="12" t="s">
        <v>150</v>
      </c>
      <c r="AF12" s="12" t="s">
        <v>150</v>
      </c>
      <c r="AG12" s="12" t="s">
        <v>150</v>
      </c>
      <c r="AH12" s="12" t="s">
        <v>150</v>
      </c>
      <c r="AI12" s="12" t="s">
        <v>150</v>
      </c>
      <c r="AJ12" s="12" t="s">
        <v>150</v>
      </c>
      <c r="AK12" t="b">
        <v>0</v>
      </c>
      <c r="AL12" s="12" t="s">
        <v>150</v>
      </c>
      <c r="AM12" s="12" t="s">
        <v>150</v>
      </c>
      <c r="AN12" s="12" t="s">
        <v>150</v>
      </c>
      <c r="AO12" s="12" t="s">
        <v>150</v>
      </c>
      <c r="AP12" s="12" t="s">
        <v>150</v>
      </c>
    </row>
    <row r="13" spans="1:42" x14ac:dyDescent="0.35">
      <c r="A13" s="12" t="s">
        <v>192</v>
      </c>
      <c r="B13" s="12" t="s">
        <v>192</v>
      </c>
      <c r="C13" s="12" t="s">
        <v>157</v>
      </c>
      <c r="D13" s="12" t="s">
        <v>157</v>
      </c>
      <c r="E13">
        <v>1</v>
      </c>
      <c r="F13">
        <v>1</v>
      </c>
      <c r="G13" s="12" t="s">
        <v>149</v>
      </c>
      <c r="H13">
        <v>1</v>
      </c>
      <c r="I13" s="13">
        <v>45971</v>
      </c>
      <c r="J13" s="13">
        <v>45971</v>
      </c>
      <c r="K13" t="b">
        <v>0</v>
      </c>
      <c r="L13" s="12" t="s">
        <v>150</v>
      </c>
      <c r="M13" s="12" t="s">
        <v>151</v>
      </c>
      <c r="N13" s="12" t="s">
        <v>193</v>
      </c>
      <c r="O13" s="12" t="s">
        <v>152</v>
      </c>
      <c r="P13" s="12" t="s">
        <v>191</v>
      </c>
      <c r="Q13" s="12" t="s">
        <v>150</v>
      </c>
      <c r="R13" s="12" t="s">
        <v>154</v>
      </c>
      <c r="S13" s="12" t="s">
        <v>154</v>
      </c>
      <c r="T13" s="12" t="s">
        <v>165</v>
      </c>
      <c r="U13" s="12" t="s">
        <v>154</v>
      </c>
      <c r="V13" s="12" t="s">
        <v>155</v>
      </c>
      <c r="W13" s="12" t="s">
        <v>150</v>
      </c>
      <c r="X13" s="12" t="s">
        <v>150</v>
      </c>
      <c r="Y13" s="12" t="s">
        <v>150</v>
      </c>
      <c r="Z13" t="b">
        <v>0</v>
      </c>
      <c r="AA13" s="12" t="s">
        <v>150</v>
      </c>
      <c r="AB13" s="12" t="s">
        <v>150</v>
      </c>
      <c r="AC13" s="12" t="s">
        <v>150</v>
      </c>
      <c r="AD13" t="b">
        <v>0</v>
      </c>
      <c r="AE13" s="12" t="s">
        <v>150</v>
      </c>
      <c r="AF13" s="12" t="s">
        <v>150</v>
      </c>
      <c r="AG13" s="12" t="s">
        <v>150</v>
      </c>
      <c r="AH13" s="12" t="s">
        <v>150</v>
      </c>
      <c r="AI13" s="12" t="s">
        <v>150</v>
      </c>
      <c r="AJ13" s="12" t="s">
        <v>150</v>
      </c>
      <c r="AK13" t="b">
        <v>0</v>
      </c>
      <c r="AL13" s="12" t="s">
        <v>150</v>
      </c>
      <c r="AM13" s="12" t="s">
        <v>150</v>
      </c>
      <c r="AN13" s="12" t="s">
        <v>150</v>
      </c>
      <c r="AO13" s="12" t="s">
        <v>150</v>
      </c>
      <c r="AP13" s="12" t="s">
        <v>150</v>
      </c>
    </row>
    <row r="14" spans="1:42" x14ac:dyDescent="0.35">
      <c r="A14" s="12" t="s">
        <v>194</v>
      </c>
      <c r="B14" s="12" t="s">
        <v>194</v>
      </c>
      <c r="C14" s="12" t="s">
        <v>148</v>
      </c>
      <c r="D14" s="12" t="s">
        <v>148</v>
      </c>
      <c r="E14">
        <v>1</v>
      </c>
      <c r="F14">
        <v>1</v>
      </c>
      <c r="G14" s="12" t="s">
        <v>149</v>
      </c>
      <c r="H14">
        <v>1</v>
      </c>
      <c r="I14" s="13">
        <v>46147</v>
      </c>
      <c r="J14" s="13">
        <v>46147</v>
      </c>
      <c r="K14" t="b">
        <v>0</v>
      </c>
      <c r="L14" s="12" t="s">
        <v>150</v>
      </c>
      <c r="M14" s="12" t="s">
        <v>151</v>
      </c>
      <c r="N14" s="12" t="s">
        <v>150</v>
      </c>
      <c r="O14" s="12" t="s">
        <v>179</v>
      </c>
      <c r="P14" s="12" t="s">
        <v>163</v>
      </c>
      <c r="Q14" s="12" t="s">
        <v>150</v>
      </c>
      <c r="R14" s="12" t="s">
        <v>154</v>
      </c>
      <c r="S14" s="12" t="s">
        <v>154</v>
      </c>
      <c r="T14" s="12" t="s">
        <v>154</v>
      </c>
      <c r="U14" s="12" t="s">
        <v>154</v>
      </c>
      <c r="V14" s="12" t="s">
        <v>183</v>
      </c>
      <c r="W14" s="12" t="s">
        <v>195</v>
      </c>
      <c r="X14" s="12" t="s">
        <v>196</v>
      </c>
      <c r="Y14" s="12" t="s">
        <v>150</v>
      </c>
      <c r="Z14" t="b">
        <v>0</v>
      </c>
      <c r="AA14" s="12" t="s">
        <v>150</v>
      </c>
      <c r="AB14" s="12" t="s">
        <v>150</v>
      </c>
      <c r="AC14" s="12" t="s">
        <v>150</v>
      </c>
      <c r="AD14" t="b">
        <v>0</v>
      </c>
      <c r="AE14" s="12" t="s">
        <v>197</v>
      </c>
      <c r="AF14" s="12" t="s">
        <v>198</v>
      </c>
      <c r="AG14" s="12" t="s">
        <v>150</v>
      </c>
      <c r="AH14" s="12" t="s">
        <v>188</v>
      </c>
      <c r="AI14" s="12" t="s">
        <v>188</v>
      </c>
      <c r="AJ14" s="12" t="s">
        <v>150</v>
      </c>
      <c r="AK14" t="b">
        <v>0</v>
      </c>
      <c r="AL14" s="12" t="s">
        <v>179</v>
      </c>
      <c r="AM14" s="12" t="s">
        <v>150</v>
      </c>
      <c r="AN14" s="12" t="s">
        <v>152</v>
      </c>
      <c r="AO14" s="12" t="s">
        <v>180</v>
      </c>
      <c r="AP14" s="12" t="s">
        <v>199</v>
      </c>
    </row>
    <row r="15" spans="1:42" x14ac:dyDescent="0.35">
      <c r="A15" s="12" t="s">
        <v>200</v>
      </c>
      <c r="B15" s="12" t="s">
        <v>200</v>
      </c>
      <c r="C15" s="12" t="s">
        <v>157</v>
      </c>
      <c r="D15" s="12" t="s">
        <v>157</v>
      </c>
      <c r="E15">
        <v>1</v>
      </c>
      <c r="F15">
        <v>1</v>
      </c>
      <c r="G15" s="12" t="s">
        <v>149</v>
      </c>
      <c r="H15">
        <v>1</v>
      </c>
      <c r="I15" s="13">
        <v>46147</v>
      </c>
      <c r="J15" s="13">
        <v>46147</v>
      </c>
      <c r="K15" t="b">
        <v>0</v>
      </c>
      <c r="L15" s="12" t="s">
        <v>150</v>
      </c>
      <c r="M15" s="12" t="s">
        <v>151</v>
      </c>
      <c r="N15" s="12" t="s">
        <v>150</v>
      </c>
      <c r="O15" s="12" t="s">
        <v>179</v>
      </c>
      <c r="P15" s="12" t="s">
        <v>163</v>
      </c>
      <c r="Q15" s="12" t="s">
        <v>150</v>
      </c>
      <c r="R15" s="12" t="s">
        <v>154</v>
      </c>
      <c r="S15" s="12" t="s">
        <v>154</v>
      </c>
      <c r="T15" s="12" t="s">
        <v>154</v>
      </c>
      <c r="U15" s="12" t="s">
        <v>154</v>
      </c>
      <c r="V15" s="12" t="s">
        <v>155</v>
      </c>
      <c r="W15" s="12" t="s">
        <v>150</v>
      </c>
      <c r="X15" s="12" t="s">
        <v>150</v>
      </c>
      <c r="Y15" s="12" t="s">
        <v>150</v>
      </c>
      <c r="Z15" t="b">
        <v>0</v>
      </c>
      <c r="AA15" s="12" t="s">
        <v>150</v>
      </c>
      <c r="AB15" s="12" t="s">
        <v>150</v>
      </c>
      <c r="AC15" s="12" t="s">
        <v>150</v>
      </c>
      <c r="AD15" t="b">
        <v>0</v>
      </c>
      <c r="AE15" s="12" t="s">
        <v>150</v>
      </c>
      <c r="AF15" s="12" t="s">
        <v>150</v>
      </c>
      <c r="AG15" s="12" t="s">
        <v>150</v>
      </c>
      <c r="AH15" s="12" t="s">
        <v>150</v>
      </c>
      <c r="AI15" s="12" t="s">
        <v>150</v>
      </c>
      <c r="AJ15" s="12" t="s">
        <v>150</v>
      </c>
      <c r="AK15" t="b">
        <v>0</v>
      </c>
      <c r="AL15" s="12" t="s">
        <v>150</v>
      </c>
      <c r="AM15" s="12" t="s">
        <v>150</v>
      </c>
      <c r="AN15" s="12" t="s">
        <v>150</v>
      </c>
      <c r="AO15" s="12" t="s">
        <v>150</v>
      </c>
      <c r="AP15" s="12" t="s">
        <v>150</v>
      </c>
    </row>
    <row r="16" spans="1:42" x14ac:dyDescent="0.35">
      <c r="A16" s="12" t="s">
        <v>201</v>
      </c>
      <c r="B16" s="12" t="s">
        <v>201</v>
      </c>
      <c r="C16" s="12" t="s">
        <v>148</v>
      </c>
      <c r="D16" s="12" t="s">
        <v>148</v>
      </c>
      <c r="E16">
        <v>1</v>
      </c>
      <c r="F16">
        <v>1</v>
      </c>
      <c r="G16" s="12" t="s">
        <v>149</v>
      </c>
      <c r="H16">
        <v>2</v>
      </c>
      <c r="I16" s="13">
        <v>45884</v>
      </c>
      <c r="J16" s="13">
        <v>45884</v>
      </c>
      <c r="K16" t="b">
        <v>0</v>
      </c>
      <c r="L16" s="12" t="s">
        <v>150</v>
      </c>
      <c r="M16" s="12" t="s">
        <v>151</v>
      </c>
      <c r="N16" s="12" t="s">
        <v>150</v>
      </c>
      <c r="O16" s="12" t="s">
        <v>179</v>
      </c>
      <c r="P16" s="12" t="s">
        <v>153</v>
      </c>
      <c r="Q16" s="12" t="s">
        <v>150</v>
      </c>
      <c r="R16" s="12" t="s">
        <v>154</v>
      </c>
      <c r="S16" s="12" t="s">
        <v>154</v>
      </c>
      <c r="T16" s="12" t="s">
        <v>154</v>
      </c>
      <c r="U16" s="12" t="s">
        <v>154</v>
      </c>
      <c r="V16" s="12" t="s">
        <v>155</v>
      </c>
      <c r="W16" s="12" t="s">
        <v>150</v>
      </c>
      <c r="X16" s="12" t="s">
        <v>150</v>
      </c>
      <c r="Y16" s="12" t="s">
        <v>150</v>
      </c>
      <c r="Z16" t="b">
        <v>0</v>
      </c>
      <c r="AA16" s="12" t="s">
        <v>150</v>
      </c>
      <c r="AB16" s="12" t="s">
        <v>150</v>
      </c>
      <c r="AC16" s="12" t="s">
        <v>150</v>
      </c>
      <c r="AD16" t="b">
        <v>0</v>
      </c>
      <c r="AE16" s="12" t="s">
        <v>150</v>
      </c>
      <c r="AF16" s="12" t="s">
        <v>150</v>
      </c>
      <c r="AG16" s="12" t="s">
        <v>150</v>
      </c>
      <c r="AH16" s="12" t="s">
        <v>150</v>
      </c>
      <c r="AI16" s="12" t="s">
        <v>150</v>
      </c>
      <c r="AJ16" s="12" t="s">
        <v>150</v>
      </c>
      <c r="AK16" t="b">
        <v>0</v>
      </c>
      <c r="AL16" s="12" t="s">
        <v>150</v>
      </c>
      <c r="AM16" s="12" t="s">
        <v>150</v>
      </c>
      <c r="AN16" s="12" t="s">
        <v>150</v>
      </c>
      <c r="AO16" s="12" t="s">
        <v>150</v>
      </c>
      <c r="AP16" s="12" t="s">
        <v>150</v>
      </c>
    </row>
    <row r="17" spans="1:42" x14ac:dyDescent="0.35">
      <c r="A17" s="12" t="s">
        <v>202</v>
      </c>
      <c r="B17" s="12" t="s">
        <v>202</v>
      </c>
      <c r="C17" s="12" t="s">
        <v>157</v>
      </c>
      <c r="D17" s="12" t="s">
        <v>157</v>
      </c>
      <c r="E17">
        <v>1</v>
      </c>
      <c r="F17">
        <v>1</v>
      </c>
      <c r="G17" s="12" t="s">
        <v>149</v>
      </c>
      <c r="H17">
        <v>2</v>
      </c>
      <c r="I17" s="13">
        <v>45884</v>
      </c>
      <c r="J17" s="13">
        <v>45884</v>
      </c>
      <c r="K17" t="b">
        <v>0</v>
      </c>
      <c r="L17" s="12" t="s">
        <v>150</v>
      </c>
      <c r="M17" s="12" t="s">
        <v>151</v>
      </c>
      <c r="N17" s="12" t="s">
        <v>150</v>
      </c>
      <c r="O17" s="12" t="s">
        <v>179</v>
      </c>
      <c r="P17" s="12" t="s">
        <v>153</v>
      </c>
      <c r="Q17" s="12" t="s">
        <v>150</v>
      </c>
      <c r="R17" s="12" t="s">
        <v>154</v>
      </c>
      <c r="S17" s="12" t="s">
        <v>154</v>
      </c>
      <c r="T17" s="12" t="s">
        <v>154</v>
      </c>
      <c r="U17" s="12" t="s">
        <v>165</v>
      </c>
      <c r="V17" s="12" t="s">
        <v>155</v>
      </c>
      <c r="W17" s="12" t="s">
        <v>150</v>
      </c>
      <c r="X17" s="12" t="s">
        <v>150</v>
      </c>
      <c r="Y17" s="12" t="s">
        <v>150</v>
      </c>
      <c r="Z17" t="b">
        <v>0</v>
      </c>
      <c r="AA17" s="12" t="s">
        <v>150</v>
      </c>
      <c r="AB17" s="12" t="s">
        <v>150</v>
      </c>
      <c r="AC17" s="12" t="s">
        <v>150</v>
      </c>
      <c r="AD17" t="b">
        <v>0</v>
      </c>
      <c r="AE17" s="12" t="s">
        <v>150</v>
      </c>
      <c r="AF17" s="12" t="s">
        <v>150</v>
      </c>
      <c r="AG17" s="12" t="s">
        <v>150</v>
      </c>
      <c r="AH17" s="12" t="s">
        <v>150</v>
      </c>
      <c r="AI17" s="12" t="s">
        <v>150</v>
      </c>
      <c r="AJ17" s="12" t="s">
        <v>150</v>
      </c>
      <c r="AK17" t="b">
        <v>0</v>
      </c>
      <c r="AL17" s="12" t="s">
        <v>150</v>
      </c>
      <c r="AM17" s="12" t="s">
        <v>150</v>
      </c>
      <c r="AN17" s="12" t="s">
        <v>150</v>
      </c>
      <c r="AO17" s="12" t="s">
        <v>150</v>
      </c>
      <c r="AP17" s="12" t="s">
        <v>150</v>
      </c>
    </row>
    <row r="18" spans="1:42" x14ac:dyDescent="0.35">
      <c r="A18" s="12" t="s">
        <v>203</v>
      </c>
      <c r="B18" s="12" t="s">
        <v>203</v>
      </c>
      <c r="C18" s="12" t="s">
        <v>148</v>
      </c>
      <c r="D18" s="12" t="s">
        <v>148</v>
      </c>
      <c r="E18">
        <v>1</v>
      </c>
      <c r="F18">
        <v>1</v>
      </c>
      <c r="G18" s="12" t="s">
        <v>149</v>
      </c>
      <c r="H18">
        <v>21</v>
      </c>
      <c r="I18" s="13">
        <v>45867</v>
      </c>
      <c r="J18" s="13">
        <v>45867</v>
      </c>
      <c r="K18" t="b">
        <v>0</v>
      </c>
      <c r="L18" s="12" t="s">
        <v>150</v>
      </c>
      <c r="M18" s="12" t="s">
        <v>151</v>
      </c>
      <c r="N18" s="12" t="s">
        <v>150</v>
      </c>
      <c r="O18" s="12" t="s">
        <v>152</v>
      </c>
      <c r="P18" s="12" t="s">
        <v>169</v>
      </c>
      <c r="Q18" s="12" t="s">
        <v>150</v>
      </c>
      <c r="R18" s="12" t="s">
        <v>154</v>
      </c>
      <c r="S18" s="12" t="s">
        <v>154</v>
      </c>
      <c r="T18" s="12" t="s">
        <v>154</v>
      </c>
      <c r="U18" s="12" t="s">
        <v>154</v>
      </c>
      <c r="V18" s="12" t="s">
        <v>173</v>
      </c>
      <c r="W18" s="12" t="s">
        <v>204</v>
      </c>
      <c r="X18" s="12" t="s">
        <v>205</v>
      </c>
      <c r="Y18" s="12" t="s">
        <v>150</v>
      </c>
      <c r="Z18" t="b">
        <v>0</v>
      </c>
      <c r="AA18" s="12" t="s">
        <v>150</v>
      </c>
      <c r="AB18" s="12" t="s">
        <v>150</v>
      </c>
      <c r="AC18" s="12" t="s">
        <v>150</v>
      </c>
      <c r="AD18" t="b">
        <v>0</v>
      </c>
      <c r="AE18" s="12" t="s">
        <v>206</v>
      </c>
      <c r="AF18" s="12" t="s">
        <v>207</v>
      </c>
      <c r="AG18" s="12" t="s">
        <v>150</v>
      </c>
      <c r="AH18" s="12" t="s">
        <v>196</v>
      </c>
      <c r="AI18" s="12" t="s">
        <v>208</v>
      </c>
      <c r="AJ18" s="12" t="s">
        <v>150</v>
      </c>
      <c r="AK18" t="b">
        <v>0</v>
      </c>
      <c r="AL18" s="12" t="s">
        <v>179</v>
      </c>
      <c r="AM18" s="12" t="s">
        <v>150</v>
      </c>
      <c r="AN18" s="12" t="s">
        <v>152</v>
      </c>
      <c r="AO18" s="12" t="s">
        <v>153</v>
      </c>
      <c r="AP18" s="12" t="s">
        <v>209</v>
      </c>
    </row>
    <row r="19" spans="1:42" x14ac:dyDescent="0.35">
      <c r="A19" s="12" t="s">
        <v>203</v>
      </c>
      <c r="B19" s="12" t="s">
        <v>203</v>
      </c>
      <c r="C19" s="12" t="s">
        <v>148</v>
      </c>
      <c r="D19" s="12" t="s">
        <v>148</v>
      </c>
      <c r="E19">
        <v>8</v>
      </c>
      <c r="F19">
        <v>1</v>
      </c>
      <c r="G19" s="12" t="s">
        <v>162</v>
      </c>
      <c r="H19">
        <v>21</v>
      </c>
      <c r="I19" s="13">
        <v>46070</v>
      </c>
      <c r="J19" s="13">
        <v>46070</v>
      </c>
      <c r="K19" t="b">
        <v>0</v>
      </c>
      <c r="L19" s="12" t="s">
        <v>150</v>
      </c>
      <c r="M19" s="12" t="s">
        <v>151</v>
      </c>
      <c r="N19" s="12" t="s">
        <v>150</v>
      </c>
      <c r="O19" s="12" t="s">
        <v>152</v>
      </c>
      <c r="P19" s="12" t="s">
        <v>169</v>
      </c>
      <c r="Q19" s="12" t="s">
        <v>164</v>
      </c>
      <c r="R19" s="12" t="s">
        <v>154</v>
      </c>
      <c r="S19" s="12" t="s">
        <v>154</v>
      </c>
      <c r="T19" s="12" t="s">
        <v>154</v>
      </c>
      <c r="U19" s="12" t="s">
        <v>154</v>
      </c>
      <c r="V19" s="12" t="s">
        <v>173</v>
      </c>
      <c r="W19" s="12" t="s">
        <v>210</v>
      </c>
      <c r="X19" s="12" t="s">
        <v>211</v>
      </c>
      <c r="Y19" s="12" t="s">
        <v>150</v>
      </c>
      <c r="Z19" t="b">
        <v>0</v>
      </c>
      <c r="AA19" s="12" t="s">
        <v>150</v>
      </c>
      <c r="AB19" s="12" t="s">
        <v>150</v>
      </c>
      <c r="AC19" s="12" t="s">
        <v>150</v>
      </c>
      <c r="AD19" t="b">
        <v>0</v>
      </c>
      <c r="AE19" s="12" t="s">
        <v>212</v>
      </c>
      <c r="AF19" s="12" t="s">
        <v>213</v>
      </c>
      <c r="AG19" s="12" t="s">
        <v>150</v>
      </c>
      <c r="AH19" s="12" t="s">
        <v>214</v>
      </c>
      <c r="AI19" s="12" t="s">
        <v>215</v>
      </c>
      <c r="AJ19" s="12" t="s">
        <v>150</v>
      </c>
      <c r="AK19" t="b">
        <v>0</v>
      </c>
      <c r="AL19" s="12" t="s">
        <v>179</v>
      </c>
      <c r="AM19" s="12" t="s">
        <v>179</v>
      </c>
      <c r="AN19" s="12" t="s">
        <v>152</v>
      </c>
      <c r="AO19" s="12" t="s">
        <v>153</v>
      </c>
      <c r="AP19" s="12" t="s">
        <v>209</v>
      </c>
    </row>
    <row r="20" spans="1:42" x14ac:dyDescent="0.35">
      <c r="A20" s="12" t="s">
        <v>216</v>
      </c>
      <c r="B20" s="12" t="s">
        <v>216</v>
      </c>
      <c r="C20" s="12" t="s">
        <v>157</v>
      </c>
      <c r="D20" s="12" t="s">
        <v>157</v>
      </c>
      <c r="E20">
        <v>1</v>
      </c>
      <c r="F20">
        <v>1</v>
      </c>
      <c r="G20" s="12" t="s">
        <v>149</v>
      </c>
      <c r="H20">
        <v>21</v>
      </c>
      <c r="I20" s="13">
        <v>45867</v>
      </c>
      <c r="J20" s="13">
        <v>45867</v>
      </c>
      <c r="K20" t="b">
        <v>0</v>
      </c>
      <c r="L20" s="12" t="s">
        <v>150</v>
      </c>
      <c r="M20" s="12" t="s">
        <v>151</v>
      </c>
      <c r="N20" s="12" t="s">
        <v>150</v>
      </c>
      <c r="O20" s="12" t="s">
        <v>152</v>
      </c>
      <c r="P20" s="12" t="s">
        <v>169</v>
      </c>
      <c r="Q20" s="12" t="s">
        <v>150</v>
      </c>
      <c r="R20" s="12" t="s">
        <v>154</v>
      </c>
      <c r="S20" s="12" t="s">
        <v>154</v>
      </c>
      <c r="T20" s="12" t="s">
        <v>154</v>
      </c>
      <c r="U20" s="12" t="s">
        <v>154</v>
      </c>
      <c r="V20" s="12" t="s">
        <v>173</v>
      </c>
      <c r="W20" s="12" t="s">
        <v>217</v>
      </c>
      <c r="X20" s="12" t="s">
        <v>218</v>
      </c>
      <c r="Y20" s="12" t="s">
        <v>150</v>
      </c>
      <c r="Z20" t="b">
        <v>0</v>
      </c>
      <c r="AA20" s="12" t="s">
        <v>150</v>
      </c>
      <c r="AB20" s="12" t="s">
        <v>150</v>
      </c>
      <c r="AC20" s="12" t="s">
        <v>150</v>
      </c>
      <c r="AD20" t="b">
        <v>0</v>
      </c>
      <c r="AE20" s="12" t="s">
        <v>219</v>
      </c>
      <c r="AF20" s="12" t="s">
        <v>220</v>
      </c>
      <c r="AG20" s="12" t="s">
        <v>150</v>
      </c>
      <c r="AH20" s="12" t="s">
        <v>221</v>
      </c>
      <c r="AI20" s="12" t="s">
        <v>222</v>
      </c>
      <c r="AJ20" s="12" t="s">
        <v>150</v>
      </c>
      <c r="AK20" t="b">
        <v>0</v>
      </c>
      <c r="AL20" s="12" t="s">
        <v>179</v>
      </c>
      <c r="AM20" s="12" t="s">
        <v>150</v>
      </c>
      <c r="AN20" s="12" t="s">
        <v>152</v>
      </c>
      <c r="AO20" s="12" t="s">
        <v>153</v>
      </c>
      <c r="AP20" s="12" t="s">
        <v>209</v>
      </c>
    </row>
    <row r="21" spans="1:42" x14ac:dyDescent="0.35">
      <c r="A21" s="12" t="s">
        <v>223</v>
      </c>
      <c r="B21" s="12" t="s">
        <v>223</v>
      </c>
      <c r="C21" s="12" t="s">
        <v>148</v>
      </c>
      <c r="D21" s="12" t="s">
        <v>148</v>
      </c>
      <c r="E21">
        <v>1</v>
      </c>
      <c r="F21">
        <v>1</v>
      </c>
      <c r="G21" s="12" t="s">
        <v>149</v>
      </c>
      <c r="H21">
        <v>21</v>
      </c>
      <c r="I21" s="13">
        <v>46055</v>
      </c>
      <c r="J21" s="13">
        <v>46057</v>
      </c>
      <c r="K21" t="b">
        <v>0</v>
      </c>
      <c r="L21" s="12" t="s">
        <v>150</v>
      </c>
      <c r="M21" s="12" t="s">
        <v>151</v>
      </c>
      <c r="N21" s="12" t="s">
        <v>150</v>
      </c>
      <c r="O21" s="12" t="s">
        <v>152</v>
      </c>
      <c r="P21" s="12" t="s">
        <v>224</v>
      </c>
      <c r="Q21" s="12" t="s">
        <v>150</v>
      </c>
      <c r="R21" s="12" t="s">
        <v>165</v>
      </c>
      <c r="S21" s="12" t="s">
        <v>165</v>
      </c>
      <c r="T21" s="12" t="s">
        <v>165</v>
      </c>
      <c r="U21" s="12" t="s">
        <v>165</v>
      </c>
      <c r="V21" s="12" t="s">
        <v>173</v>
      </c>
      <c r="W21" s="12" t="s">
        <v>225</v>
      </c>
      <c r="X21" s="12" t="s">
        <v>226</v>
      </c>
      <c r="Y21" s="12" t="s">
        <v>150</v>
      </c>
      <c r="Z21" t="b">
        <v>0</v>
      </c>
      <c r="AA21" s="12" t="s">
        <v>150</v>
      </c>
      <c r="AB21" s="12" t="s">
        <v>150</v>
      </c>
      <c r="AC21" s="12" t="s">
        <v>150</v>
      </c>
      <c r="AD21" t="b">
        <v>0</v>
      </c>
      <c r="AE21" s="12" t="s">
        <v>227</v>
      </c>
      <c r="AF21" s="12" t="s">
        <v>228</v>
      </c>
      <c r="AG21" s="12" t="s">
        <v>150</v>
      </c>
      <c r="AH21" s="12" t="s">
        <v>188</v>
      </c>
      <c r="AI21" s="12" t="s">
        <v>188</v>
      </c>
      <c r="AJ21" s="12" t="s">
        <v>150</v>
      </c>
      <c r="AK21" t="b">
        <v>0</v>
      </c>
      <c r="AL21" s="12" t="s">
        <v>179</v>
      </c>
      <c r="AM21" s="12" t="s">
        <v>150</v>
      </c>
      <c r="AN21" s="12" t="s">
        <v>152</v>
      </c>
      <c r="AO21" s="12" t="s">
        <v>180</v>
      </c>
      <c r="AP21" s="12" t="s">
        <v>199</v>
      </c>
    </row>
    <row r="22" spans="1:42" x14ac:dyDescent="0.35">
      <c r="A22" s="12" t="s">
        <v>229</v>
      </c>
      <c r="B22" s="12" t="s">
        <v>229</v>
      </c>
      <c r="C22" s="12" t="s">
        <v>157</v>
      </c>
      <c r="D22" s="12" t="s">
        <v>157</v>
      </c>
      <c r="E22">
        <v>1</v>
      </c>
      <c r="F22">
        <v>1</v>
      </c>
      <c r="G22" s="12" t="s">
        <v>149</v>
      </c>
      <c r="H22">
        <v>21</v>
      </c>
      <c r="I22" s="13">
        <v>46055</v>
      </c>
      <c r="J22" s="13">
        <v>46057</v>
      </c>
      <c r="K22" t="b">
        <v>0</v>
      </c>
      <c r="L22" s="12" t="s">
        <v>150</v>
      </c>
      <c r="M22" s="12" t="s">
        <v>151</v>
      </c>
      <c r="N22" s="12" t="s">
        <v>150</v>
      </c>
      <c r="O22" s="12" t="s">
        <v>152</v>
      </c>
      <c r="P22" s="12" t="s">
        <v>224</v>
      </c>
      <c r="Q22" s="12" t="s">
        <v>150</v>
      </c>
      <c r="R22" s="12" t="s">
        <v>154</v>
      </c>
      <c r="S22" s="12" t="s">
        <v>154</v>
      </c>
      <c r="T22" s="12" t="s">
        <v>154</v>
      </c>
      <c r="U22" s="12" t="s">
        <v>154</v>
      </c>
      <c r="V22" s="12" t="s">
        <v>183</v>
      </c>
      <c r="W22" s="12" t="s">
        <v>230</v>
      </c>
      <c r="X22" s="12" t="s">
        <v>231</v>
      </c>
      <c r="Y22" s="12" t="s">
        <v>150</v>
      </c>
      <c r="Z22" t="b">
        <v>0</v>
      </c>
      <c r="AA22" s="12" t="s">
        <v>150</v>
      </c>
      <c r="AB22" s="12" t="s">
        <v>150</v>
      </c>
      <c r="AC22" s="12" t="s">
        <v>150</v>
      </c>
      <c r="AD22" t="b">
        <v>0</v>
      </c>
      <c r="AE22" s="12" t="s">
        <v>232</v>
      </c>
      <c r="AF22" s="12" t="s">
        <v>233</v>
      </c>
      <c r="AG22" s="12" t="s">
        <v>150</v>
      </c>
      <c r="AH22" s="12" t="s">
        <v>188</v>
      </c>
      <c r="AI22" s="12" t="s">
        <v>188</v>
      </c>
      <c r="AJ22" s="12" t="s">
        <v>150</v>
      </c>
      <c r="AK22" t="b">
        <v>0</v>
      </c>
      <c r="AL22" s="12" t="s">
        <v>179</v>
      </c>
      <c r="AM22" s="12" t="s">
        <v>150</v>
      </c>
      <c r="AN22" s="12" t="s">
        <v>152</v>
      </c>
      <c r="AO22" s="12" t="s">
        <v>180</v>
      </c>
      <c r="AP22" s="12" t="s">
        <v>199</v>
      </c>
    </row>
    <row r="23" spans="1:42" x14ac:dyDescent="0.35">
      <c r="A23" s="12" t="s">
        <v>234</v>
      </c>
      <c r="B23" s="12" t="s">
        <v>234</v>
      </c>
      <c r="C23" s="12" t="s">
        <v>148</v>
      </c>
      <c r="D23" s="12" t="s">
        <v>148</v>
      </c>
      <c r="E23">
        <v>1</v>
      </c>
      <c r="F23">
        <v>1</v>
      </c>
      <c r="G23" s="12" t="s">
        <v>149</v>
      </c>
      <c r="H23">
        <v>21</v>
      </c>
      <c r="I23" s="13">
        <v>46086</v>
      </c>
      <c r="J23" s="13">
        <v>46086</v>
      </c>
      <c r="K23" t="b">
        <v>0</v>
      </c>
      <c r="L23" s="12" t="s">
        <v>150</v>
      </c>
      <c r="M23" s="12" t="s">
        <v>151</v>
      </c>
      <c r="N23" s="12" t="s">
        <v>235</v>
      </c>
      <c r="O23" s="12" t="s">
        <v>152</v>
      </c>
      <c r="P23" s="12" t="s">
        <v>224</v>
      </c>
      <c r="Q23" s="12" t="s">
        <v>150</v>
      </c>
      <c r="R23" s="12" t="s">
        <v>154</v>
      </c>
      <c r="S23" s="12" t="s">
        <v>154</v>
      </c>
      <c r="T23" s="12" t="s">
        <v>154</v>
      </c>
      <c r="U23" s="12" t="s">
        <v>154</v>
      </c>
      <c r="V23" s="12" t="s">
        <v>173</v>
      </c>
      <c r="W23" s="12" t="s">
        <v>150</v>
      </c>
      <c r="X23" s="12" t="s">
        <v>150</v>
      </c>
      <c r="Y23" s="12" t="s">
        <v>150</v>
      </c>
      <c r="Z23" t="b">
        <v>1</v>
      </c>
      <c r="AA23" s="12" t="s">
        <v>236</v>
      </c>
      <c r="AB23" s="12" t="s">
        <v>237</v>
      </c>
      <c r="AC23" s="12" t="s">
        <v>150</v>
      </c>
      <c r="AD23" t="b">
        <v>0</v>
      </c>
      <c r="AE23" s="12" t="s">
        <v>238</v>
      </c>
      <c r="AF23" s="12" t="s">
        <v>239</v>
      </c>
      <c r="AG23" s="12" t="s">
        <v>150</v>
      </c>
      <c r="AH23" s="12" t="s">
        <v>240</v>
      </c>
      <c r="AI23" s="12" t="s">
        <v>241</v>
      </c>
      <c r="AJ23" s="12" t="s">
        <v>150</v>
      </c>
      <c r="AK23" t="b">
        <v>0</v>
      </c>
      <c r="AL23" s="12" t="s">
        <v>152</v>
      </c>
      <c r="AM23" s="12" t="s">
        <v>150</v>
      </c>
      <c r="AN23" s="12" t="s">
        <v>152</v>
      </c>
      <c r="AO23" s="12" t="s">
        <v>180</v>
      </c>
      <c r="AP23" s="12" t="s">
        <v>209</v>
      </c>
    </row>
    <row r="24" spans="1:42" x14ac:dyDescent="0.35">
      <c r="A24" s="12" t="s">
        <v>242</v>
      </c>
      <c r="B24" s="12" t="s">
        <v>242</v>
      </c>
      <c r="C24" s="12" t="s">
        <v>157</v>
      </c>
      <c r="D24" s="12" t="s">
        <v>157</v>
      </c>
      <c r="E24">
        <v>1</v>
      </c>
      <c r="F24">
        <v>1</v>
      </c>
      <c r="G24" s="12" t="s">
        <v>149</v>
      </c>
      <c r="H24">
        <v>21</v>
      </c>
      <c r="I24" s="13">
        <v>46086</v>
      </c>
      <c r="J24" s="13">
        <v>46086</v>
      </c>
      <c r="K24" t="b">
        <v>0</v>
      </c>
      <c r="L24" s="12" t="s">
        <v>150</v>
      </c>
      <c r="M24" s="12" t="s">
        <v>151</v>
      </c>
      <c r="N24" s="12" t="s">
        <v>243</v>
      </c>
      <c r="O24" s="12" t="s">
        <v>152</v>
      </c>
      <c r="P24" s="12" t="s">
        <v>224</v>
      </c>
      <c r="Q24" s="12" t="s">
        <v>150</v>
      </c>
      <c r="R24" s="12" t="s">
        <v>154</v>
      </c>
      <c r="S24" s="12" t="s">
        <v>154</v>
      </c>
      <c r="T24" s="12" t="s">
        <v>154</v>
      </c>
      <c r="U24" s="12" t="s">
        <v>154</v>
      </c>
      <c r="V24" s="12" t="s">
        <v>173</v>
      </c>
      <c r="W24" s="12" t="s">
        <v>150</v>
      </c>
      <c r="X24" s="12" t="s">
        <v>150</v>
      </c>
      <c r="Y24" s="12" t="s">
        <v>150</v>
      </c>
      <c r="Z24" t="b">
        <v>1</v>
      </c>
      <c r="AA24" s="12" t="s">
        <v>244</v>
      </c>
      <c r="AB24" s="12" t="s">
        <v>245</v>
      </c>
      <c r="AC24" s="12" t="s">
        <v>150</v>
      </c>
      <c r="AD24" t="b">
        <v>0</v>
      </c>
      <c r="AE24" s="12" t="s">
        <v>246</v>
      </c>
      <c r="AF24" s="12" t="s">
        <v>247</v>
      </c>
      <c r="AG24" s="12" t="s">
        <v>150</v>
      </c>
      <c r="AH24" s="12" t="s">
        <v>248</v>
      </c>
      <c r="AI24" s="12" t="s">
        <v>249</v>
      </c>
      <c r="AJ24" s="12" t="s">
        <v>150</v>
      </c>
      <c r="AK24" t="b">
        <v>0</v>
      </c>
      <c r="AL24" s="12" t="s">
        <v>152</v>
      </c>
      <c r="AM24" s="12" t="s">
        <v>150</v>
      </c>
      <c r="AN24" s="12" t="s">
        <v>152</v>
      </c>
      <c r="AO24" s="12" t="s">
        <v>250</v>
      </c>
      <c r="AP24" s="12" t="s">
        <v>181</v>
      </c>
    </row>
    <row r="25" spans="1:42" x14ac:dyDescent="0.35">
      <c r="A25" s="12" t="s">
        <v>251</v>
      </c>
      <c r="B25" s="12" t="s">
        <v>251</v>
      </c>
      <c r="C25" s="12" t="s">
        <v>157</v>
      </c>
      <c r="D25" s="12" t="s">
        <v>157</v>
      </c>
      <c r="E25">
        <v>1</v>
      </c>
      <c r="F25">
        <v>1</v>
      </c>
      <c r="G25" s="12" t="s">
        <v>149</v>
      </c>
      <c r="H25">
        <v>21</v>
      </c>
      <c r="I25" s="13">
        <v>46125</v>
      </c>
      <c r="J25" s="13">
        <v>46125</v>
      </c>
      <c r="K25" t="b">
        <v>0</v>
      </c>
      <c r="L25" s="12" t="s">
        <v>150</v>
      </c>
      <c r="M25" s="12" t="s">
        <v>151</v>
      </c>
      <c r="N25" s="12" t="s">
        <v>150</v>
      </c>
      <c r="O25" s="12" t="s">
        <v>152</v>
      </c>
      <c r="P25" s="12" t="s">
        <v>169</v>
      </c>
      <c r="Q25" s="12" t="s">
        <v>150</v>
      </c>
      <c r="R25" s="12" t="s">
        <v>154</v>
      </c>
      <c r="S25" s="12" t="s">
        <v>154</v>
      </c>
      <c r="T25" s="12" t="s">
        <v>154</v>
      </c>
      <c r="U25" s="12" t="s">
        <v>154</v>
      </c>
      <c r="V25" s="12" t="s">
        <v>183</v>
      </c>
      <c r="W25" s="12" t="s">
        <v>252</v>
      </c>
      <c r="X25" s="12" t="s">
        <v>253</v>
      </c>
      <c r="Y25" s="12" t="s">
        <v>150</v>
      </c>
      <c r="Z25" t="b">
        <v>0</v>
      </c>
      <c r="AA25" s="12" t="s">
        <v>150</v>
      </c>
      <c r="AB25" s="12" t="s">
        <v>150</v>
      </c>
      <c r="AC25" s="12" t="s">
        <v>150</v>
      </c>
      <c r="AD25" t="b">
        <v>0</v>
      </c>
      <c r="AE25" s="12" t="s">
        <v>215</v>
      </c>
      <c r="AF25" s="12" t="s">
        <v>254</v>
      </c>
      <c r="AG25" s="12" t="s">
        <v>150</v>
      </c>
      <c r="AH25" s="12" t="s">
        <v>188</v>
      </c>
      <c r="AI25" s="12" t="s">
        <v>188</v>
      </c>
      <c r="AJ25" s="12" t="s">
        <v>150</v>
      </c>
      <c r="AK25" t="b">
        <v>0</v>
      </c>
      <c r="AL25" s="12" t="s">
        <v>179</v>
      </c>
      <c r="AM25" s="12" t="s">
        <v>150</v>
      </c>
      <c r="AN25" s="12" t="s">
        <v>152</v>
      </c>
      <c r="AO25" s="12" t="s">
        <v>153</v>
      </c>
      <c r="AP25" s="12" t="s">
        <v>199</v>
      </c>
    </row>
    <row r="26" spans="1:42" x14ac:dyDescent="0.35">
      <c r="A26" s="12" t="s">
        <v>255</v>
      </c>
      <c r="B26" s="12" t="s">
        <v>255</v>
      </c>
      <c r="C26" s="12" t="s">
        <v>148</v>
      </c>
      <c r="D26" s="12" t="s">
        <v>148</v>
      </c>
      <c r="E26">
        <v>1</v>
      </c>
      <c r="F26">
        <v>1</v>
      </c>
      <c r="G26" s="12" t="s">
        <v>149</v>
      </c>
      <c r="H26">
        <v>22</v>
      </c>
      <c r="I26" s="13">
        <v>45824</v>
      </c>
      <c r="J26" s="13">
        <v>45824</v>
      </c>
      <c r="K26" t="b">
        <v>0</v>
      </c>
      <c r="L26" s="12" t="s">
        <v>150</v>
      </c>
      <c r="M26" s="12" t="s">
        <v>151</v>
      </c>
      <c r="N26" s="12" t="s">
        <v>150</v>
      </c>
      <c r="O26" s="12" t="s">
        <v>152</v>
      </c>
      <c r="P26" s="12" t="s">
        <v>167</v>
      </c>
      <c r="Q26" s="12" t="s">
        <v>150</v>
      </c>
      <c r="R26" s="12" t="s">
        <v>154</v>
      </c>
      <c r="S26" s="12" t="s">
        <v>154</v>
      </c>
      <c r="T26" s="12" t="s">
        <v>154</v>
      </c>
      <c r="U26" s="12" t="s">
        <v>165</v>
      </c>
      <c r="V26" s="12" t="s">
        <v>173</v>
      </c>
      <c r="W26" s="12" t="s">
        <v>256</v>
      </c>
      <c r="X26" s="12" t="s">
        <v>257</v>
      </c>
      <c r="Y26" s="12" t="s">
        <v>150</v>
      </c>
      <c r="Z26" t="b">
        <v>0</v>
      </c>
      <c r="AA26" s="12" t="s">
        <v>150</v>
      </c>
      <c r="AB26" s="12" t="s">
        <v>150</v>
      </c>
      <c r="AC26" s="12" t="s">
        <v>150</v>
      </c>
      <c r="AD26" t="b">
        <v>0</v>
      </c>
      <c r="AE26" s="12" t="s">
        <v>258</v>
      </c>
      <c r="AF26" s="12" t="s">
        <v>259</v>
      </c>
      <c r="AG26" s="12" t="s">
        <v>150</v>
      </c>
      <c r="AH26" s="12" t="s">
        <v>188</v>
      </c>
      <c r="AI26" s="12" t="s">
        <v>188</v>
      </c>
      <c r="AJ26" s="12" t="s">
        <v>150</v>
      </c>
      <c r="AK26" t="b">
        <v>0</v>
      </c>
      <c r="AL26" s="12" t="s">
        <v>179</v>
      </c>
      <c r="AM26" s="12" t="s">
        <v>150</v>
      </c>
      <c r="AN26" s="12" t="s">
        <v>152</v>
      </c>
      <c r="AO26" s="12" t="s">
        <v>153</v>
      </c>
      <c r="AP26" s="12" t="s">
        <v>169</v>
      </c>
    </row>
    <row r="27" spans="1:42" x14ac:dyDescent="0.35">
      <c r="A27" s="12" t="s">
        <v>260</v>
      </c>
      <c r="B27" s="12" t="s">
        <v>260</v>
      </c>
      <c r="C27" s="12" t="s">
        <v>157</v>
      </c>
      <c r="D27" s="12" t="s">
        <v>157</v>
      </c>
      <c r="E27">
        <v>1</v>
      </c>
      <c r="F27">
        <v>1</v>
      </c>
      <c r="G27" s="12" t="s">
        <v>149</v>
      </c>
      <c r="H27">
        <v>22</v>
      </c>
      <c r="I27" s="13">
        <v>45824</v>
      </c>
      <c r="J27" s="13">
        <v>45824</v>
      </c>
      <c r="K27" t="b">
        <v>0</v>
      </c>
      <c r="L27" s="12" t="s">
        <v>150</v>
      </c>
      <c r="M27" s="12" t="s">
        <v>151</v>
      </c>
      <c r="N27" s="12" t="s">
        <v>150</v>
      </c>
      <c r="O27" s="12" t="s">
        <v>152</v>
      </c>
      <c r="P27" s="12" t="s">
        <v>167</v>
      </c>
      <c r="Q27" s="12" t="s">
        <v>150</v>
      </c>
      <c r="R27" s="12" t="s">
        <v>154</v>
      </c>
      <c r="S27" s="12" t="s">
        <v>154</v>
      </c>
      <c r="T27" s="12" t="s">
        <v>154</v>
      </c>
      <c r="U27" s="12" t="s">
        <v>154</v>
      </c>
      <c r="V27" s="12" t="s">
        <v>261</v>
      </c>
      <c r="W27" s="12" t="s">
        <v>262</v>
      </c>
      <c r="X27" s="12" t="s">
        <v>263</v>
      </c>
      <c r="Y27" s="12" t="s">
        <v>150</v>
      </c>
      <c r="Z27" t="b">
        <v>0</v>
      </c>
      <c r="AA27" s="12" t="s">
        <v>150</v>
      </c>
      <c r="AB27" s="12" t="s">
        <v>150</v>
      </c>
      <c r="AC27" s="12" t="s">
        <v>150</v>
      </c>
      <c r="AD27" t="b">
        <v>0</v>
      </c>
      <c r="AE27" s="12" t="s">
        <v>264</v>
      </c>
      <c r="AF27" s="12" t="s">
        <v>265</v>
      </c>
      <c r="AG27" s="12" t="s">
        <v>150</v>
      </c>
      <c r="AH27" s="12" t="s">
        <v>188</v>
      </c>
      <c r="AI27" s="12" t="s">
        <v>188</v>
      </c>
      <c r="AJ27" s="12" t="s">
        <v>150</v>
      </c>
      <c r="AK27" t="b">
        <v>0</v>
      </c>
      <c r="AL27" s="12" t="s">
        <v>179</v>
      </c>
      <c r="AM27" s="12" t="s">
        <v>150</v>
      </c>
      <c r="AN27" s="12" t="s">
        <v>152</v>
      </c>
      <c r="AO27" s="12" t="s">
        <v>153</v>
      </c>
      <c r="AP27" s="12" t="s">
        <v>199</v>
      </c>
    </row>
    <row r="28" spans="1:42" x14ac:dyDescent="0.35">
      <c r="A28" s="12" t="s">
        <v>266</v>
      </c>
      <c r="B28" s="12" t="s">
        <v>266</v>
      </c>
      <c r="C28" s="12" t="s">
        <v>148</v>
      </c>
      <c r="D28" s="12" t="s">
        <v>148</v>
      </c>
      <c r="E28">
        <v>1</v>
      </c>
      <c r="F28">
        <v>1</v>
      </c>
      <c r="G28" s="12" t="s">
        <v>149</v>
      </c>
      <c r="H28">
        <v>31</v>
      </c>
      <c r="I28" s="13">
        <v>46175</v>
      </c>
      <c r="J28" s="13">
        <v>46175</v>
      </c>
      <c r="K28" t="b">
        <v>0</v>
      </c>
      <c r="L28" s="12" t="s">
        <v>150</v>
      </c>
      <c r="M28" s="12" t="s">
        <v>151</v>
      </c>
      <c r="N28" s="12" t="s">
        <v>150</v>
      </c>
      <c r="O28" s="12" t="s">
        <v>152</v>
      </c>
      <c r="P28" s="12" t="s">
        <v>167</v>
      </c>
      <c r="Q28" s="12" t="s">
        <v>150</v>
      </c>
      <c r="R28" s="12" t="s">
        <v>165</v>
      </c>
      <c r="S28" s="12" t="s">
        <v>154</v>
      </c>
      <c r="T28" s="12" t="s">
        <v>154</v>
      </c>
      <c r="U28" s="12" t="s">
        <v>165</v>
      </c>
      <c r="V28" s="12" t="s">
        <v>155</v>
      </c>
      <c r="W28" s="12" t="s">
        <v>150</v>
      </c>
      <c r="X28" s="12" t="s">
        <v>150</v>
      </c>
      <c r="Y28" s="12" t="s">
        <v>150</v>
      </c>
      <c r="Z28" t="b">
        <v>0</v>
      </c>
      <c r="AA28" s="12" t="s">
        <v>150</v>
      </c>
      <c r="AB28" s="12" t="s">
        <v>150</v>
      </c>
      <c r="AC28" s="12" t="s">
        <v>150</v>
      </c>
      <c r="AD28" t="b">
        <v>0</v>
      </c>
      <c r="AE28" s="12" t="s">
        <v>150</v>
      </c>
      <c r="AF28" s="12" t="s">
        <v>150</v>
      </c>
      <c r="AG28" s="12" t="s">
        <v>150</v>
      </c>
      <c r="AH28" s="12" t="s">
        <v>150</v>
      </c>
      <c r="AI28" s="12" t="s">
        <v>150</v>
      </c>
      <c r="AJ28" s="12" t="s">
        <v>150</v>
      </c>
      <c r="AK28" t="b">
        <v>0</v>
      </c>
      <c r="AL28" s="12" t="s">
        <v>150</v>
      </c>
      <c r="AM28" s="12" t="s">
        <v>150</v>
      </c>
      <c r="AN28" s="12" t="s">
        <v>150</v>
      </c>
      <c r="AO28" s="12" t="s">
        <v>150</v>
      </c>
      <c r="AP28" s="12" t="s">
        <v>150</v>
      </c>
    </row>
    <row r="29" spans="1:42" x14ac:dyDescent="0.35">
      <c r="A29" s="12" t="s">
        <v>267</v>
      </c>
      <c r="B29" s="12" t="s">
        <v>267</v>
      </c>
      <c r="C29" s="12" t="s">
        <v>157</v>
      </c>
      <c r="D29" s="12" t="s">
        <v>157</v>
      </c>
      <c r="E29">
        <v>1</v>
      </c>
      <c r="F29">
        <v>1</v>
      </c>
      <c r="G29" s="12" t="s">
        <v>149</v>
      </c>
      <c r="H29">
        <v>31</v>
      </c>
      <c r="I29" s="13">
        <v>46175</v>
      </c>
      <c r="J29" s="13">
        <v>46175</v>
      </c>
      <c r="K29" t="b">
        <v>0</v>
      </c>
      <c r="L29" s="12" t="s">
        <v>150</v>
      </c>
      <c r="M29" s="12" t="s">
        <v>151</v>
      </c>
      <c r="N29" s="12" t="s">
        <v>150</v>
      </c>
      <c r="O29" s="12" t="s">
        <v>152</v>
      </c>
      <c r="P29" s="12" t="s">
        <v>163</v>
      </c>
      <c r="Q29" s="12" t="s">
        <v>150</v>
      </c>
      <c r="R29" s="12" t="s">
        <v>165</v>
      </c>
      <c r="S29" s="12" t="s">
        <v>268</v>
      </c>
      <c r="T29" s="12" t="s">
        <v>268</v>
      </c>
      <c r="U29" s="12" t="s">
        <v>165</v>
      </c>
      <c r="V29" s="12" t="s">
        <v>155</v>
      </c>
      <c r="W29" s="12" t="s">
        <v>150</v>
      </c>
      <c r="X29" s="12" t="s">
        <v>150</v>
      </c>
      <c r="Y29" s="12" t="s">
        <v>150</v>
      </c>
      <c r="Z29" t="b">
        <v>0</v>
      </c>
      <c r="AA29" s="12" t="s">
        <v>150</v>
      </c>
      <c r="AB29" s="12" t="s">
        <v>150</v>
      </c>
      <c r="AC29" s="12" t="s">
        <v>150</v>
      </c>
      <c r="AD29" t="b">
        <v>0</v>
      </c>
      <c r="AE29" s="12" t="s">
        <v>150</v>
      </c>
      <c r="AF29" s="12" t="s">
        <v>150</v>
      </c>
      <c r="AG29" s="12" t="s">
        <v>150</v>
      </c>
      <c r="AH29" s="12" t="s">
        <v>150</v>
      </c>
      <c r="AI29" s="12" t="s">
        <v>150</v>
      </c>
      <c r="AJ29" s="12" t="s">
        <v>150</v>
      </c>
      <c r="AK29" t="b">
        <v>0</v>
      </c>
      <c r="AL29" s="12" t="s">
        <v>150</v>
      </c>
      <c r="AM29" s="12" t="s">
        <v>150</v>
      </c>
      <c r="AN29" s="12" t="s">
        <v>150</v>
      </c>
      <c r="AO29" s="12" t="s">
        <v>150</v>
      </c>
      <c r="AP29" s="12" t="s">
        <v>150</v>
      </c>
    </row>
    <row r="30" spans="1:42" x14ac:dyDescent="0.35">
      <c r="A30" s="12" t="s">
        <v>269</v>
      </c>
      <c r="B30" s="12" t="s">
        <v>269</v>
      </c>
      <c r="C30" s="12" t="s">
        <v>148</v>
      </c>
      <c r="D30" s="12" t="s">
        <v>148</v>
      </c>
      <c r="E30">
        <v>1</v>
      </c>
      <c r="F30">
        <v>1</v>
      </c>
      <c r="G30" s="12" t="s">
        <v>149</v>
      </c>
      <c r="H30">
        <v>33</v>
      </c>
      <c r="I30" s="13">
        <v>46071</v>
      </c>
      <c r="J30" s="13">
        <v>46071</v>
      </c>
      <c r="K30" t="b">
        <v>0</v>
      </c>
      <c r="L30" s="12" t="s">
        <v>150</v>
      </c>
      <c r="M30" s="12" t="s">
        <v>151</v>
      </c>
      <c r="N30" s="12" t="s">
        <v>150</v>
      </c>
      <c r="O30" s="12" t="s">
        <v>152</v>
      </c>
      <c r="P30" s="12" t="s">
        <v>169</v>
      </c>
      <c r="Q30" s="12" t="s">
        <v>150</v>
      </c>
      <c r="R30" s="12" t="s">
        <v>154</v>
      </c>
      <c r="S30" s="12" t="s">
        <v>154</v>
      </c>
      <c r="T30" s="12" t="s">
        <v>165</v>
      </c>
      <c r="U30" s="12" t="s">
        <v>165</v>
      </c>
      <c r="V30" s="12" t="s">
        <v>155</v>
      </c>
      <c r="W30" s="12" t="s">
        <v>150</v>
      </c>
      <c r="X30" s="12" t="s">
        <v>150</v>
      </c>
      <c r="Y30" s="12" t="s">
        <v>150</v>
      </c>
      <c r="Z30" t="b">
        <v>0</v>
      </c>
      <c r="AA30" s="12" t="s">
        <v>150</v>
      </c>
      <c r="AB30" s="12" t="s">
        <v>150</v>
      </c>
      <c r="AC30" s="12" t="s">
        <v>150</v>
      </c>
      <c r="AD30" t="b">
        <v>0</v>
      </c>
      <c r="AE30" s="12" t="s">
        <v>150</v>
      </c>
      <c r="AF30" s="12" t="s">
        <v>150</v>
      </c>
      <c r="AG30" s="12" t="s">
        <v>150</v>
      </c>
      <c r="AH30" s="12" t="s">
        <v>150</v>
      </c>
      <c r="AI30" s="12" t="s">
        <v>150</v>
      </c>
      <c r="AJ30" s="12" t="s">
        <v>150</v>
      </c>
      <c r="AK30" t="b">
        <v>0</v>
      </c>
      <c r="AL30" s="12" t="s">
        <v>150</v>
      </c>
      <c r="AM30" s="12" t="s">
        <v>150</v>
      </c>
      <c r="AN30" s="12" t="s">
        <v>150</v>
      </c>
      <c r="AO30" s="12" t="s">
        <v>150</v>
      </c>
      <c r="AP30" s="12" t="s">
        <v>150</v>
      </c>
    </row>
    <row r="31" spans="1:42" x14ac:dyDescent="0.35">
      <c r="A31" s="12" t="s">
        <v>270</v>
      </c>
      <c r="B31" s="12" t="s">
        <v>270</v>
      </c>
      <c r="C31" s="12" t="s">
        <v>157</v>
      </c>
      <c r="D31" s="12" t="s">
        <v>157</v>
      </c>
      <c r="E31">
        <v>1</v>
      </c>
      <c r="F31">
        <v>1</v>
      </c>
      <c r="G31" s="12" t="s">
        <v>149</v>
      </c>
      <c r="H31">
        <v>33</v>
      </c>
      <c r="I31" s="13">
        <v>46071</v>
      </c>
      <c r="J31" s="13">
        <v>46071</v>
      </c>
      <c r="K31" t="b">
        <v>0</v>
      </c>
      <c r="L31" s="12" t="s">
        <v>150</v>
      </c>
      <c r="M31" s="12" t="s">
        <v>151</v>
      </c>
      <c r="N31" s="12" t="s">
        <v>150</v>
      </c>
      <c r="O31" s="12" t="s">
        <v>152</v>
      </c>
      <c r="P31" s="12" t="s">
        <v>169</v>
      </c>
      <c r="Q31" s="12" t="s">
        <v>150</v>
      </c>
      <c r="R31" s="12" t="s">
        <v>154</v>
      </c>
      <c r="S31" s="12" t="s">
        <v>154</v>
      </c>
      <c r="T31" s="12" t="s">
        <v>165</v>
      </c>
      <c r="U31" s="12" t="s">
        <v>154</v>
      </c>
      <c r="V31" s="12" t="s">
        <v>155</v>
      </c>
      <c r="W31" s="12" t="s">
        <v>150</v>
      </c>
      <c r="X31" s="12" t="s">
        <v>150</v>
      </c>
      <c r="Y31" s="12" t="s">
        <v>150</v>
      </c>
      <c r="Z31" t="b">
        <v>0</v>
      </c>
      <c r="AA31" s="12" t="s">
        <v>150</v>
      </c>
      <c r="AB31" s="12" t="s">
        <v>150</v>
      </c>
      <c r="AC31" s="12" t="s">
        <v>150</v>
      </c>
      <c r="AD31" t="b">
        <v>0</v>
      </c>
      <c r="AE31" s="12" t="s">
        <v>150</v>
      </c>
      <c r="AF31" s="12" t="s">
        <v>150</v>
      </c>
      <c r="AG31" s="12" t="s">
        <v>150</v>
      </c>
      <c r="AH31" s="12" t="s">
        <v>150</v>
      </c>
      <c r="AI31" s="12" t="s">
        <v>150</v>
      </c>
      <c r="AJ31" s="12" t="s">
        <v>150</v>
      </c>
      <c r="AK31" t="b">
        <v>0</v>
      </c>
      <c r="AL31" s="12" t="s">
        <v>150</v>
      </c>
      <c r="AM31" s="12" t="s">
        <v>150</v>
      </c>
      <c r="AN31" s="12" t="s">
        <v>150</v>
      </c>
      <c r="AO31" s="12" t="s">
        <v>150</v>
      </c>
      <c r="AP31" s="12" t="s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64" zoomScaleNormal="64" workbookViewId="0">
      <pane ySplit="1" topLeftCell="A2" activePane="bottomLeft" state="frozen"/>
      <selection pane="bottomLeft" activeCell="C19" sqref="C19"/>
    </sheetView>
  </sheetViews>
  <sheetFormatPr defaultRowHeight="14.5" x14ac:dyDescent="0.35"/>
  <cols>
    <col min="1" max="1" width="28" customWidth="1"/>
    <col min="2" max="2" width="34" customWidth="1"/>
    <col min="3" max="3" width="62" customWidth="1"/>
    <col min="4" max="4" width="47.6328125" customWidth="1"/>
    <col min="5" max="5" width="38.1796875" customWidth="1"/>
    <col min="6" max="6" width="27.81640625" customWidth="1"/>
    <col min="7" max="7" width="25.81640625" customWidth="1"/>
    <col min="8" max="8" width="34.453125" customWidth="1"/>
    <col min="9" max="9" width="22.54296875" customWidth="1"/>
    <col min="10" max="10" width="25.81640625" customWidth="1"/>
    <col min="11" max="11" width="28" customWidth="1"/>
  </cols>
  <sheetData>
    <row r="1" spans="1:11" ht="21" x14ac:dyDescent="0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9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>
        <v>35</v>
      </c>
      <c r="G2" s="4">
        <v>4</v>
      </c>
      <c r="H2" s="4">
        <v>8.75</v>
      </c>
      <c r="I2" s="4" t="s">
        <v>25</v>
      </c>
      <c r="J2" s="4">
        <f t="shared" ref="J2:J21" si="0">IF(I2="Met",H2,IF(I2="Partial",H2*0.5,0))</f>
        <v>8.75</v>
      </c>
      <c r="K2" s="4"/>
    </row>
    <row r="3" spans="1:11" x14ac:dyDescent="0.35">
      <c r="A3" s="9" t="s">
        <v>11</v>
      </c>
      <c r="B3" s="4" t="s">
        <v>17</v>
      </c>
      <c r="C3" s="4" t="s">
        <v>18</v>
      </c>
      <c r="D3" s="4" t="s">
        <v>19</v>
      </c>
      <c r="E3" s="4" t="s">
        <v>20</v>
      </c>
      <c r="F3" s="4">
        <v>35</v>
      </c>
      <c r="G3" s="4">
        <v>4</v>
      </c>
      <c r="H3" s="4">
        <v>8.75</v>
      </c>
      <c r="I3" s="4" t="s">
        <v>25</v>
      </c>
      <c r="J3" s="4">
        <f t="shared" si="0"/>
        <v>8.75</v>
      </c>
      <c r="K3" s="4"/>
    </row>
    <row r="4" spans="1:11" x14ac:dyDescent="0.35">
      <c r="A4" s="9" t="s">
        <v>11</v>
      </c>
      <c r="B4" s="4" t="s">
        <v>21</v>
      </c>
      <c r="C4" s="4" t="s">
        <v>22</v>
      </c>
      <c r="D4" s="4" t="s">
        <v>23</v>
      </c>
      <c r="E4" s="4" t="s">
        <v>24</v>
      </c>
      <c r="F4" s="4">
        <v>35</v>
      </c>
      <c r="G4" s="4">
        <v>4</v>
      </c>
      <c r="H4" s="4">
        <v>8.75</v>
      </c>
      <c r="I4" s="4" t="s">
        <v>16</v>
      </c>
      <c r="J4" s="4">
        <f t="shared" si="0"/>
        <v>4.375</v>
      </c>
      <c r="K4" s="4"/>
    </row>
    <row r="5" spans="1:11" x14ac:dyDescent="0.35">
      <c r="A5" s="9" t="s">
        <v>11</v>
      </c>
      <c r="B5" s="4" t="s">
        <v>26</v>
      </c>
      <c r="C5" s="4" t="s">
        <v>27</v>
      </c>
      <c r="D5" s="4" t="s">
        <v>28</v>
      </c>
      <c r="E5" s="4" t="s">
        <v>29</v>
      </c>
      <c r="F5" s="4">
        <v>35</v>
      </c>
      <c r="G5" s="4">
        <v>4</v>
      </c>
      <c r="H5" s="4">
        <v>8.75</v>
      </c>
      <c r="I5" s="4" t="s">
        <v>25</v>
      </c>
      <c r="J5" s="4">
        <f t="shared" si="0"/>
        <v>8.75</v>
      </c>
      <c r="K5" s="4"/>
    </row>
    <row r="6" spans="1:11" x14ac:dyDescent="0.35">
      <c r="A6" s="8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20</v>
      </c>
      <c r="G6" s="4">
        <v>4</v>
      </c>
      <c r="H6" s="4">
        <v>5</v>
      </c>
      <c r="I6" s="4" t="s">
        <v>25</v>
      </c>
      <c r="J6" s="4">
        <f t="shared" si="0"/>
        <v>5</v>
      </c>
      <c r="K6" s="4"/>
    </row>
    <row r="7" spans="1:11" x14ac:dyDescent="0.35">
      <c r="A7" s="8" t="s">
        <v>30</v>
      </c>
      <c r="B7" s="4" t="s">
        <v>35</v>
      </c>
      <c r="C7" s="4" t="s">
        <v>36</v>
      </c>
      <c r="D7" s="4" t="s">
        <v>37</v>
      </c>
      <c r="E7" s="4" t="s">
        <v>38</v>
      </c>
      <c r="F7" s="4">
        <v>20</v>
      </c>
      <c r="G7" s="4">
        <v>4</v>
      </c>
      <c r="H7" s="4">
        <v>5</v>
      </c>
      <c r="I7" s="4" t="s">
        <v>25</v>
      </c>
      <c r="J7" s="4">
        <f t="shared" si="0"/>
        <v>5</v>
      </c>
      <c r="K7" s="4"/>
    </row>
    <row r="8" spans="1:11" x14ac:dyDescent="0.35">
      <c r="A8" s="8" t="s">
        <v>30</v>
      </c>
      <c r="B8" s="4" t="s">
        <v>39</v>
      </c>
      <c r="C8" s="4" t="s">
        <v>40</v>
      </c>
      <c r="D8" s="4" t="s">
        <v>41</v>
      </c>
      <c r="E8" s="4" t="s">
        <v>42</v>
      </c>
      <c r="F8" s="4">
        <v>20</v>
      </c>
      <c r="G8" s="4">
        <v>4</v>
      </c>
      <c r="H8" s="4">
        <v>5</v>
      </c>
      <c r="I8" s="4" t="s">
        <v>25</v>
      </c>
      <c r="J8" s="4">
        <f t="shared" si="0"/>
        <v>5</v>
      </c>
      <c r="K8" s="4"/>
    </row>
    <row r="9" spans="1:11" x14ac:dyDescent="0.35">
      <c r="A9" s="8" t="s">
        <v>30</v>
      </c>
      <c r="B9" s="4" t="s">
        <v>43</v>
      </c>
      <c r="C9" s="4" t="s">
        <v>44</v>
      </c>
      <c r="D9" s="4" t="s">
        <v>45</v>
      </c>
      <c r="E9" s="4" t="s">
        <v>46</v>
      </c>
      <c r="F9" s="4">
        <v>20</v>
      </c>
      <c r="G9" s="4">
        <v>4</v>
      </c>
      <c r="H9" s="4">
        <v>5</v>
      </c>
      <c r="I9" s="4" t="s">
        <v>25</v>
      </c>
      <c r="J9" s="4">
        <f t="shared" si="0"/>
        <v>5</v>
      </c>
      <c r="K9" s="4"/>
    </row>
    <row r="10" spans="1:11" x14ac:dyDescent="0.35">
      <c r="A10" s="7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>
        <v>20</v>
      </c>
      <c r="G10" s="4">
        <v>4</v>
      </c>
      <c r="H10" s="4">
        <v>5</v>
      </c>
      <c r="I10" s="4" t="s">
        <v>16</v>
      </c>
      <c r="J10" s="4">
        <f t="shared" si="0"/>
        <v>2.5</v>
      </c>
      <c r="K10" s="4"/>
    </row>
    <row r="11" spans="1:11" x14ac:dyDescent="0.35">
      <c r="A11" s="7" t="s">
        <v>47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v>20</v>
      </c>
      <c r="G11" s="4">
        <v>4</v>
      </c>
      <c r="H11" s="4">
        <v>5</v>
      </c>
      <c r="I11" s="4" t="s">
        <v>16</v>
      </c>
      <c r="J11" s="4">
        <f t="shared" si="0"/>
        <v>2.5</v>
      </c>
      <c r="K11" s="4"/>
    </row>
    <row r="12" spans="1:11" x14ac:dyDescent="0.35">
      <c r="A12" s="7" t="s">
        <v>47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v>20</v>
      </c>
      <c r="G12" s="4">
        <v>4</v>
      </c>
      <c r="H12" s="4">
        <v>5</v>
      </c>
      <c r="I12" s="4" t="s">
        <v>16</v>
      </c>
      <c r="J12" s="4">
        <f t="shared" si="0"/>
        <v>2.5</v>
      </c>
      <c r="K12" s="4"/>
    </row>
    <row r="13" spans="1:11" x14ac:dyDescent="0.35">
      <c r="A13" s="7" t="s">
        <v>47</v>
      </c>
      <c r="B13" s="4" t="s">
        <v>60</v>
      </c>
      <c r="C13" s="4" t="s">
        <v>61</v>
      </c>
      <c r="D13" s="4" t="s">
        <v>62</v>
      </c>
      <c r="E13" s="4" t="s">
        <v>63</v>
      </c>
      <c r="F13" s="4">
        <v>20</v>
      </c>
      <c r="G13" s="4">
        <v>4</v>
      </c>
      <c r="H13" s="4">
        <v>5</v>
      </c>
      <c r="I13" s="4" t="s">
        <v>16</v>
      </c>
      <c r="J13" s="4">
        <f t="shared" si="0"/>
        <v>2.5</v>
      </c>
      <c r="K13" s="4"/>
    </row>
    <row r="14" spans="1:11" x14ac:dyDescent="0.35">
      <c r="A14" s="10" t="s">
        <v>64</v>
      </c>
      <c r="B14" s="4" t="s">
        <v>65</v>
      </c>
      <c r="C14" s="4" t="s">
        <v>66</v>
      </c>
      <c r="D14" s="4" t="s">
        <v>67</v>
      </c>
      <c r="E14" s="4" t="s">
        <v>59</v>
      </c>
      <c r="F14" s="4">
        <v>15</v>
      </c>
      <c r="G14" s="4">
        <v>4</v>
      </c>
      <c r="H14" s="4">
        <v>3.75</v>
      </c>
      <c r="I14" s="4" t="s">
        <v>16</v>
      </c>
      <c r="J14" s="4">
        <f t="shared" si="0"/>
        <v>1.875</v>
      </c>
      <c r="K14" s="4"/>
    </row>
    <row r="15" spans="1:11" x14ac:dyDescent="0.35">
      <c r="A15" s="10" t="s">
        <v>64</v>
      </c>
      <c r="B15" s="4" t="s">
        <v>68</v>
      </c>
      <c r="C15" s="4" t="s">
        <v>69</v>
      </c>
      <c r="D15" s="4" t="s">
        <v>70</v>
      </c>
      <c r="E15" s="4" t="s">
        <v>71</v>
      </c>
      <c r="F15" s="4">
        <v>15</v>
      </c>
      <c r="G15" s="4">
        <v>4</v>
      </c>
      <c r="H15" s="4">
        <v>3.75</v>
      </c>
      <c r="I15" s="4" t="s">
        <v>25</v>
      </c>
      <c r="J15" s="4">
        <f t="shared" si="0"/>
        <v>3.75</v>
      </c>
      <c r="K15" s="4"/>
    </row>
    <row r="16" spans="1:11" x14ac:dyDescent="0.35">
      <c r="A16" s="10" t="s">
        <v>64</v>
      </c>
      <c r="B16" s="4" t="s">
        <v>72</v>
      </c>
      <c r="C16" s="4" t="s">
        <v>73</v>
      </c>
      <c r="D16" s="4" t="s">
        <v>74</v>
      </c>
      <c r="E16" s="4" t="s">
        <v>55</v>
      </c>
      <c r="F16" s="4">
        <v>15</v>
      </c>
      <c r="G16" s="4">
        <v>4</v>
      </c>
      <c r="H16" s="4">
        <v>3.75</v>
      </c>
      <c r="I16" s="4" t="s">
        <v>25</v>
      </c>
      <c r="J16" s="4">
        <f t="shared" si="0"/>
        <v>3.75</v>
      </c>
      <c r="K16" s="4"/>
    </row>
    <row r="17" spans="1:11" x14ac:dyDescent="0.35">
      <c r="A17" s="10" t="s">
        <v>64</v>
      </c>
      <c r="B17" s="4" t="s">
        <v>75</v>
      </c>
      <c r="C17" s="4" t="s">
        <v>76</v>
      </c>
      <c r="D17" s="4" t="s">
        <v>77</v>
      </c>
      <c r="E17" s="4" t="s">
        <v>59</v>
      </c>
      <c r="F17" s="4">
        <v>15</v>
      </c>
      <c r="G17" s="4">
        <v>4</v>
      </c>
      <c r="H17" s="4">
        <v>3.75</v>
      </c>
      <c r="I17" s="4" t="s">
        <v>25</v>
      </c>
      <c r="J17" s="4">
        <f t="shared" si="0"/>
        <v>3.75</v>
      </c>
      <c r="K17" s="4"/>
    </row>
    <row r="18" spans="1:11" x14ac:dyDescent="0.35">
      <c r="A18" s="11" t="s">
        <v>78</v>
      </c>
      <c r="B18" s="4" t="s">
        <v>79</v>
      </c>
      <c r="C18" s="4" t="s">
        <v>80</v>
      </c>
      <c r="D18" s="4" t="s">
        <v>81</v>
      </c>
      <c r="E18" s="4" t="s">
        <v>82</v>
      </c>
      <c r="F18" s="4">
        <v>10</v>
      </c>
      <c r="G18" s="4">
        <v>4</v>
      </c>
      <c r="H18" s="4">
        <v>2.5</v>
      </c>
      <c r="I18" s="4" t="s">
        <v>16</v>
      </c>
      <c r="J18" s="4">
        <f t="shared" si="0"/>
        <v>1.25</v>
      </c>
      <c r="K18" s="4"/>
    </row>
    <row r="19" spans="1:11" x14ac:dyDescent="0.35">
      <c r="A19" s="11" t="s">
        <v>78</v>
      </c>
      <c r="B19" s="4" t="s">
        <v>83</v>
      </c>
      <c r="C19" s="4" t="s">
        <v>84</v>
      </c>
      <c r="D19" s="4" t="s">
        <v>85</v>
      </c>
      <c r="E19" s="4" t="s">
        <v>34</v>
      </c>
      <c r="F19" s="4">
        <v>10</v>
      </c>
      <c r="G19" s="4">
        <v>4</v>
      </c>
      <c r="H19" s="4">
        <v>2.5</v>
      </c>
      <c r="I19" s="4" t="s">
        <v>25</v>
      </c>
      <c r="J19" s="4">
        <f t="shared" si="0"/>
        <v>2.5</v>
      </c>
      <c r="K19" s="4"/>
    </row>
    <row r="20" spans="1:11" x14ac:dyDescent="0.35">
      <c r="A20" s="11" t="s">
        <v>78</v>
      </c>
      <c r="B20" s="4" t="s">
        <v>86</v>
      </c>
      <c r="C20" s="4" t="s">
        <v>87</v>
      </c>
      <c r="D20" s="4" t="s">
        <v>88</v>
      </c>
      <c r="E20" s="4" t="s">
        <v>89</v>
      </c>
      <c r="F20" s="4">
        <v>10</v>
      </c>
      <c r="G20" s="4">
        <v>4</v>
      </c>
      <c r="H20" s="4">
        <v>2.5</v>
      </c>
      <c r="I20" s="4" t="s">
        <v>25</v>
      </c>
      <c r="J20" s="4">
        <f t="shared" si="0"/>
        <v>2.5</v>
      </c>
      <c r="K20" s="4"/>
    </row>
    <row r="21" spans="1:11" x14ac:dyDescent="0.35">
      <c r="A21" s="11" t="s">
        <v>78</v>
      </c>
      <c r="B21" s="4" t="s">
        <v>90</v>
      </c>
      <c r="C21" s="4" t="s">
        <v>91</v>
      </c>
      <c r="D21" s="4" t="s">
        <v>92</v>
      </c>
      <c r="E21" s="4" t="s">
        <v>93</v>
      </c>
      <c r="F21" s="4">
        <v>10</v>
      </c>
      <c r="G21" s="4">
        <v>4</v>
      </c>
      <c r="H21" s="4">
        <v>2.5</v>
      </c>
      <c r="I21" s="4" t="s">
        <v>25</v>
      </c>
      <c r="J21" s="4">
        <f t="shared" si="0"/>
        <v>2.5</v>
      </c>
      <c r="K21" s="4"/>
    </row>
  </sheetData>
  <dataValidations count="1">
    <dataValidation type="list" allowBlank="1" showInputMessage="1" showErrorMessage="1" sqref="I2:I21" xr:uid="{00000000-0002-0000-0000-000000000000}">
      <formula1>"Met,Partial,Not Met"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C3" sqref="C3"/>
    </sheetView>
  </sheetViews>
  <sheetFormatPr defaultRowHeight="14.5" x14ac:dyDescent="0.35"/>
  <cols>
    <col min="1" max="1" width="26.7265625" customWidth="1"/>
  </cols>
  <sheetData>
    <row r="1" spans="1:1" ht="29" x14ac:dyDescent="0.35">
      <c r="A1" s="1" t="s">
        <v>94</v>
      </c>
    </row>
    <row r="2" spans="1:1" ht="43.5" x14ac:dyDescent="0.35">
      <c r="A2" s="2" t="s">
        <v>95</v>
      </c>
    </row>
    <row r="3" spans="1:1" ht="43.5" x14ac:dyDescent="0.35">
      <c r="A3" s="2" t="s">
        <v>96</v>
      </c>
    </row>
    <row r="4" spans="1:1" x14ac:dyDescent="0.35">
      <c r="A4" s="2" t="s">
        <v>97</v>
      </c>
    </row>
    <row r="5" spans="1:1" ht="29" x14ac:dyDescent="0.35">
      <c r="A5" s="2" t="s">
        <v>98</v>
      </c>
    </row>
    <row r="6" spans="1:1" ht="29" x14ac:dyDescent="0.35">
      <c r="A6" s="2" t="s">
        <v>99</v>
      </c>
    </row>
    <row r="7" spans="1:1" ht="29" x14ac:dyDescent="0.35">
      <c r="A7" s="2" t="s">
        <v>100</v>
      </c>
    </row>
    <row r="8" spans="1:1" ht="43.5" x14ac:dyDescent="0.35">
      <c r="A8" s="2" t="s">
        <v>101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11" sqref="B11"/>
    </sheetView>
  </sheetViews>
  <sheetFormatPr defaultRowHeight="14.5" x14ac:dyDescent="0.35"/>
  <cols>
    <col min="1" max="1" width="34.453125" customWidth="1"/>
    <col min="4" max="4" width="18.54296875" customWidth="1"/>
  </cols>
  <sheetData>
    <row r="1" spans="1:4" x14ac:dyDescent="0.35">
      <c r="A1" s="6" t="s">
        <v>0</v>
      </c>
      <c r="B1" s="6" t="s">
        <v>102</v>
      </c>
      <c r="C1" s="6" t="s">
        <v>103</v>
      </c>
      <c r="D1" s="6" t="s">
        <v>8</v>
      </c>
    </row>
    <row r="2" spans="1:4" x14ac:dyDescent="0.35">
      <c r="A2" t="s">
        <v>11</v>
      </c>
      <c r="B2">
        <f>SUMIF('KPI Scoring'!A:A, A2, 'KPI Scoring'!J:J)</f>
        <v>30.625</v>
      </c>
      <c r="C2">
        <v>35</v>
      </c>
      <c r="D2" t="str">
        <f>IF(B2/C2&gt;=0.85,"On Track",IF(B2/C2&gt;=0.7,"Improve","Needs Attention"))</f>
        <v>On Track</v>
      </c>
    </row>
    <row r="3" spans="1:4" x14ac:dyDescent="0.35">
      <c r="A3" t="s">
        <v>30</v>
      </c>
      <c r="B3">
        <f>SUMIF('KPI Scoring'!A:A, A3, 'KPI Scoring'!J:J)</f>
        <v>20</v>
      </c>
      <c r="C3">
        <v>20</v>
      </c>
      <c r="D3" t="str">
        <f t="shared" ref="D3:D6" si="0">IF(B3/C3&gt;=0.85,"On Track",IF(B3/C3&gt;=0.7,"Improve","Needs Attention"))</f>
        <v>On Track</v>
      </c>
    </row>
    <row r="4" spans="1:4" x14ac:dyDescent="0.35">
      <c r="A4" t="s">
        <v>47</v>
      </c>
      <c r="B4">
        <f>SUMIF('KPI Scoring'!A:A, A4, 'KPI Scoring'!J:J)</f>
        <v>10</v>
      </c>
      <c r="C4">
        <v>20</v>
      </c>
      <c r="D4" t="str">
        <f t="shared" si="0"/>
        <v>Needs Attention</v>
      </c>
    </row>
    <row r="5" spans="1:4" x14ac:dyDescent="0.35">
      <c r="A5" t="s">
        <v>64</v>
      </c>
      <c r="B5">
        <f>SUMIF('KPI Scoring'!A:A, A5, 'KPI Scoring'!J:J)</f>
        <v>13.125</v>
      </c>
      <c r="C5">
        <v>15</v>
      </c>
      <c r="D5" t="str">
        <f t="shared" si="0"/>
        <v>On Track</v>
      </c>
    </row>
    <row r="6" spans="1:4" x14ac:dyDescent="0.35">
      <c r="A6" t="s">
        <v>78</v>
      </c>
      <c r="B6">
        <f>SUMIF('KPI Scoring'!A:A, A6, 'KPI Scoring'!J:J)</f>
        <v>8.75</v>
      </c>
      <c r="C6">
        <v>10</v>
      </c>
      <c r="D6" t="str">
        <f t="shared" si="0"/>
        <v>On Track</v>
      </c>
    </row>
    <row r="7" spans="1:4" x14ac:dyDescent="0.35">
      <c r="A7" s="3" t="s">
        <v>104</v>
      </c>
      <c r="B7" s="3">
        <f>SUM(B2:B6)</f>
        <v>82.5</v>
      </c>
      <c r="C7" s="3">
        <v>100</v>
      </c>
      <c r="D7" s="3" t="str">
        <f>IF(B7/C7&gt;=0.85,"On Track",IF(B7/C7&gt;=0.7,"Improve","Needs Attention"))</f>
        <v>Improve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34BC68-95FB-453D-B04C-B0D77F376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isight2_AF_07 14 26</vt:lpstr>
      <vt:lpstr>KPI Scoring</vt:lpstr>
      <vt:lpstr>How Scoring Works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Oladele Oluwaseun</cp:lastModifiedBy>
  <cp:revision/>
  <dcterms:created xsi:type="dcterms:W3CDTF">2025-10-27T13:51:00Z</dcterms:created>
  <dcterms:modified xsi:type="dcterms:W3CDTF">2026-07-15T16:20:02Z</dcterms:modified>
  <cp:category/>
  <cp:contentStatus/>
</cp:coreProperties>
</file>